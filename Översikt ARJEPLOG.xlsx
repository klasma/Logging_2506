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26089-2024</t>
        </is>
      </c>
      <c r="B2" t="inlineStr">
        <is>
          <t>avverkningsanmälan</t>
        </is>
      </c>
      <c r="C2" t="inlineStr">
        <is>
          <t>Föryngringsavverkning</t>
        </is>
      </c>
      <c r="D2" s="1" t="n">
        <v>45467</v>
      </c>
      <c r="E2" s="1" t="n">
        <v>46227</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294</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HYPERLINK("https://klasma.github.io/Logging_2506/artfynd/A 26089-2024 artfynd.xlsx", "A 26089-2024")</f>
        <v/>
      </c>
      <c r="X2">
        <f>HYPERLINK("https://klasma.github.io/Logging_2506/kartor/A 26089-2024 karta.png", "A 26089-2024")</f>
        <v/>
      </c>
      <c r="Y2">
        <f>HYPERLINK("https://klasma.github.io/Logging_2506/kartor_geotiff/A 26089-2024 georefererad karta.tif", "A 26089-2024")</f>
        <v/>
      </c>
      <c r="AA2">
        <f>HYPERLINK("https://klasma.github.io/Logging_2506/klagomål/A 26089-2024 FSC-klagomål.docx", "A 26089-2024")</f>
        <v/>
      </c>
      <c r="AB2">
        <f>HYPERLINK("https://klasma.github.io/Logging_2506/klagomålsmail/A 26089-2024 FSC-klagomål mail.docx", "A 26089-2024")</f>
        <v/>
      </c>
      <c r="AC2">
        <f>HYPERLINK("https://klasma.github.io/Logging_2506/tillsyn/A 26089-2024 tillsynsbegäran.docx", "A 26089-2024")</f>
        <v/>
      </c>
      <c r="AD2">
        <f>HYPERLINK("https://klasma.github.io/Logging_2506/tillsynsmail/A 26089-2024 tillsynsbegäran mail.docx", "A 26089-2024")</f>
        <v/>
      </c>
      <c r="AE2">
        <f>HYPERLINK("https://klasma.github.io/Logging_2506/fåglar/A 26089-2024 prioriterade fågelarter.docx", "A 26089-2024")</f>
        <v/>
      </c>
    </row>
    <row r="3" ht="15" customHeight="1">
      <c r="A3" t="inlineStr">
        <is>
          <t>A 30606-2025</t>
        </is>
      </c>
      <c r="B3" t="inlineStr">
        <is>
          <t>avverkningsanmälan</t>
        </is>
      </c>
      <c r="C3" t="inlineStr">
        <is>
          <t>Föryngringsavverkning</t>
        </is>
      </c>
      <c r="D3" s="1" t="n">
        <v>45831</v>
      </c>
      <c r="E3" s="1" t="n">
        <v>46227</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HYPERLINK("https://klasma.github.io/Logging_2506/artfynd/A 30606-2025 artfynd.xlsx", "A 30606-2025")</f>
        <v/>
      </c>
      <c r="X3">
        <f>HYPERLINK("https://klasma.github.io/Logging_2506/kartor/A 30606-2025 karta.png", "A 30606-2025")</f>
        <v/>
      </c>
      <c r="Y3">
        <f>HYPERLINK("https://klasma.github.io/Logging_2506/kartor_geotiff/A 30606-2025 georefererad karta.tif", "A 30606-2025")</f>
        <v/>
      </c>
      <c r="Z3">
        <f>HYPERLINK("https://klasma.github.io/Logging_2506/knärot/A 30606-2025 karta knärot.png", "A 30606-2025")</f>
        <v/>
      </c>
      <c r="AA3">
        <f>HYPERLINK("https://klasma.github.io/Logging_2506/klagomål/A 30606-2025 FSC-klagomål.docx", "A 30606-2025")</f>
        <v/>
      </c>
      <c r="AB3">
        <f>HYPERLINK("https://klasma.github.io/Logging_2506/klagomålsmail/A 30606-2025 FSC-klagomål mail.docx", "A 30606-2025")</f>
        <v/>
      </c>
      <c r="AC3">
        <f>HYPERLINK("https://klasma.github.io/Logging_2506/tillsyn/A 30606-2025 tillsynsbegäran.docx", "A 30606-2025")</f>
        <v/>
      </c>
      <c r="AD3">
        <f>HYPERLINK("https://klasma.github.io/Logging_2506/tillsynsmail/A 30606-2025 tillsynsbegäran mail.docx", "A 30606-2025")</f>
        <v/>
      </c>
      <c r="AE3">
        <f>HYPERLINK("https://klasma.github.io/Logging_2506/fåglar/A 30606-2025 prioriterade fågelarter.docx", "A 30606-2025")</f>
        <v/>
      </c>
    </row>
    <row r="4" ht="15" customHeight="1">
      <c r="A4" t="inlineStr">
        <is>
          <t>A 73880-2021</t>
        </is>
      </c>
      <c r="B4" t="inlineStr">
        <is>
          <t>avverkningsanmälan</t>
        </is>
      </c>
      <c r="C4" t="inlineStr">
        <is>
          <t>Föryngringsavverkning</t>
        </is>
      </c>
      <c r="D4" s="1" t="n">
        <v>44552</v>
      </c>
      <c r="E4" s="1" t="n">
        <v>46227</v>
      </c>
      <c r="F4" t="inlineStr">
        <is>
          <t>NORRBOTTENS LÄN</t>
        </is>
      </c>
      <c r="G4" t="inlineStr">
        <is>
          <t>ARJEPLOG</t>
        </is>
      </c>
      <c r="I4" t="n">
        <v>11.2</v>
      </c>
      <c r="J4" t="n">
        <v>7</v>
      </c>
      <c r="K4" t="n">
        <v>8</v>
      </c>
      <c r="L4" t="n">
        <v>12</v>
      </c>
      <c r="M4" t="n">
        <v>7</v>
      </c>
      <c r="N4" t="n">
        <v>0</v>
      </c>
      <c r="O4" t="n">
        <v>0</v>
      </c>
      <c r="P4" t="n">
        <v>0</v>
      </c>
      <c r="Q4" t="n">
        <v>19</v>
      </c>
      <c r="R4" t="n">
        <v>7</v>
      </c>
      <c r="S4" t="n">
        <v>35</v>
      </c>
      <c r="T4" t="n">
        <v>136</v>
      </c>
      <c r="U4" t="n">
        <v>135</v>
      </c>
      <c r="V4" s="2" t="inlineStr">
        <is>
          <t>Bågknotterskinn
Garnlav
Grantickeporing
Gränsticka
Ostticka
Tajgaskinn
Vitskaftad svartspik
Brunpudrad nållav
Harticka
Koralltaggsvamp
Kötticka
Rosenticka
Rutspindling
Rynkskinn
Skrovellav
Talltita
Tretåig hackspett
Ullticka
Vitgrynig nållav
Blodticka
Finbräken
Korallrot
Spindelblomster
Stuplav
Tibast
Vedticka
Ögonpyrola
Hultbräken
Humleblomster
Kransmossa
Nordisk stormhatt
Torta
Brudsporre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46227</v>
      </c>
      <c r="F5" t="inlineStr">
        <is>
          <t>NORRBOTTENS LÄN</t>
        </is>
      </c>
      <c r="G5" t="inlineStr">
        <is>
          <t>ARJEPLOG</t>
        </is>
      </c>
      <c r="I5" t="n">
        <v>12.9</v>
      </c>
      <c r="J5" t="n">
        <v>7</v>
      </c>
      <c r="K5" t="n">
        <v>11</v>
      </c>
      <c r="L5" t="n">
        <v>15</v>
      </c>
      <c r="M5" t="n">
        <v>8</v>
      </c>
      <c r="N5" t="n">
        <v>0</v>
      </c>
      <c r="O5" t="n">
        <v>0</v>
      </c>
      <c r="P5" t="n">
        <v>0</v>
      </c>
      <c r="Q5" t="n">
        <v>23</v>
      </c>
      <c r="R5" t="n">
        <v>8</v>
      </c>
      <c r="S5" t="n">
        <v>35</v>
      </c>
      <c r="T5" t="n">
        <v>234</v>
      </c>
      <c r="U5" t="n">
        <v>234</v>
      </c>
      <c r="V5"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64809-2023</t>
        </is>
      </c>
      <c r="B6" t="inlineStr">
        <is>
          <t>avverkningsanmälan</t>
        </is>
      </c>
      <c r="C6" t="inlineStr">
        <is>
          <t>Föryngringsavverkning</t>
        </is>
      </c>
      <c r="D6" s="1" t="n">
        <v>45281</v>
      </c>
      <c r="E6" s="1" t="n">
        <v>46227</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46227</v>
      </c>
      <c r="F7" t="inlineStr">
        <is>
          <t>NORRBOTTENS LÄN</t>
        </is>
      </c>
      <c r="G7" t="inlineStr">
        <is>
          <t>ARJEPLOG</t>
        </is>
      </c>
      <c r="H7" t="inlineStr">
        <is>
          <t>Allmännings- och besparingsskogar</t>
        </is>
      </c>
      <c r="I7" t="n">
        <v>20.1</v>
      </c>
      <c r="J7" t="n">
        <v>9</v>
      </c>
      <c r="K7" t="n">
        <v>8</v>
      </c>
      <c r="L7" t="n">
        <v>16</v>
      </c>
      <c r="M7" t="n">
        <v>5</v>
      </c>
      <c r="N7" t="n">
        <v>0</v>
      </c>
      <c r="O7" t="n">
        <v>0</v>
      </c>
      <c r="P7" t="n">
        <v>0</v>
      </c>
      <c r="Q7" t="n">
        <v>21</v>
      </c>
      <c r="R7" t="n">
        <v>5</v>
      </c>
      <c r="S7" t="n">
        <v>32</v>
      </c>
      <c r="T7" t="n">
        <v>259</v>
      </c>
      <c r="U7" t="n">
        <v>259</v>
      </c>
      <c r="V7"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30870-2023</t>
        </is>
      </c>
      <c r="B8" t="inlineStr">
        <is>
          <t>avverkningsanmälan</t>
        </is>
      </c>
      <c r="C8" t="inlineStr">
        <is>
          <t>Föryngringsavverkning</t>
        </is>
      </c>
      <c r="D8" s="1" t="n">
        <v>45113</v>
      </c>
      <c r="E8" s="1" t="n">
        <v>46227</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HYPERLINK("https://klasma.github.io/Logging_2506/artfynd/A 30870-2023 artfynd.xlsx", "A 30870-2023")</f>
        <v/>
      </c>
      <c r="X8">
        <f>HYPERLINK("https://klasma.github.io/Logging_2506/kartor/A 30870-2023 karta.png", "A 30870-2023")</f>
        <v/>
      </c>
      <c r="Y8">
        <f>HYPERLINK("https://klasma.github.io/Logging_2506/kartor_geotiff/A 30870-2023 georefererad karta.tif", "A 30870-2023")</f>
        <v/>
      </c>
      <c r="AA8">
        <f>HYPERLINK("https://klasma.github.io/Logging_2506/klagomål/A 30870-2023 FSC-klagomål.docx", "A 30870-2023")</f>
        <v/>
      </c>
      <c r="AB8">
        <f>HYPERLINK("https://klasma.github.io/Logging_2506/klagomålsmail/A 30870-2023 FSC-klagomål mail.docx", "A 30870-2023")</f>
        <v/>
      </c>
      <c r="AC8">
        <f>HYPERLINK("https://klasma.github.io/Logging_2506/tillsyn/A 30870-2023 tillsynsbegäran.docx", "A 30870-2023")</f>
        <v/>
      </c>
      <c r="AD8">
        <f>HYPERLINK("https://klasma.github.io/Logging_2506/tillsynsmail/A 30870-2023 tillsynsbegäran mail.docx", "A 30870-2023")</f>
        <v/>
      </c>
      <c r="AE8">
        <f>HYPERLINK("https://klasma.github.io/Logging_2506/fåglar/A 30870-2023 prioriterade fågelarter.docx", "A 30870-2023")</f>
        <v/>
      </c>
    </row>
    <row r="9" ht="15" customHeight="1">
      <c r="A9" t="inlineStr">
        <is>
          <t>A 45924-2023</t>
        </is>
      </c>
      <c r="B9" t="inlineStr">
        <is>
          <t>avverkningsanmälan</t>
        </is>
      </c>
      <c r="C9" t="inlineStr">
        <is>
          <t>Föryngringsavverkning</t>
        </is>
      </c>
      <c r="D9" s="1" t="n">
        <v>45189</v>
      </c>
      <c r="E9" s="1" t="n">
        <v>46227</v>
      </c>
      <c r="F9" t="inlineStr">
        <is>
          <t>NORRBOTTENS LÄN</t>
        </is>
      </c>
      <c r="G9" t="inlineStr">
        <is>
          <t>ARJEPLOG</t>
        </is>
      </c>
      <c r="I9" t="n">
        <v>11.2</v>
      </c>
      <c r="J9" t="n">
        <v>4</v>
      </c>
      <c r="K9" t="n">
        <v>5</v>
      </c>
      <c r="L9" t="n">
        <v>16</v>
      </c>
      <c r="M9" t="n">
        <v>8</v>
      </c>
      <c r="N9" t="n">
        <v>0</v>
      </c>
      <c r="O9" t="n">
        <v>0</v>
      </c>
      <c r="P9" t="n">
        <v>0</v>
      </c>
      <c r="Q9" t="n">
        <v>24</v>
      </c>
      <c r="R9" t="n">
        <v>8</v>
      </c>
      <c r="S9" t="n">
        <v>30</v>
      </c>
      <c r="T9" t="n">
        <v>128</v>
      </c>
      <c r="U9" t="n">
        <v>128</v>
      </c>
      <c r="V9"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Skör kvastmossa
Sotlav
Vedticka
Tjäder</t>
        </is>
      </c>
      <c r="W9">
        <f>HYPERLINK("https://klasma.github.io/Logging_2506/artfynd/A 45924-2023 artfynd.xlsx", "A 45924-2023")</f>
        <v/>
      </c>
      <c r="X9">
        <f>HYPERLINK("https://klasma.github.io/Logging_2506/kartor/A 45924-2023 karta.png", "A 45924-2023")</f>
        <v/>
      </c>
      <c r="Y9">
        <f>HYPERLINK("https://klasma.github.io/Logging_2506/kartor_geotiff/A 45924-2023 georefererad karta.tif", "A 45924-2023")</f>
        <v/>
      </c>
      <c r="AA9">
        <f>HYPERLINK("https://klasma.github.io/Logging_2506/klagomål/A 45924-2023 FSC-klagomål.docx", "A 45924-2023")</f>
        <v/>
      </c>
      <c r="AB9">
        <f>HYPERLINK("https://klasma.github.io/Logging_2506/klagomålsmail/A 45924-2023 FSC-klagomål mail.docx", "A 45924-2023")</f>
        <v/>
      </c>
      <c r="AC9">
        <f>HYPERLINK("https://klasma.github.io/Logging_2506/tillsyn/A 45924-2023 tillsynsbegäran.docx", "A 45924-2023")</f>
        <v/>
      </c>
      <c r="AD9">
        <f>HYPERLINK("https://klasma.github.io/Logging_2506/tillsynsmail/A 45924-2023 tillsynsbegäran mail.docx", "A 45924-2023")</f>
        <v/>
      </c>
      <c r="AE9">
        <f>HYPERLINK("https://klasma.github.io/Logging_2506/fåglar/A 45924-2023 prioriterade fågelarter.docx", "A 45924-2023")</f>
        <v/>
      </c>
    </row>
    <row r="10" ht="15" customHeight="1">
      <c r="A10" t="inlineStr">
        <is>
          <t>A 26954-2022</t>
        </is>
      </c>
      <c r="B10" t="inlineStr">
        <is>
          <t>avverkningsanmälan</t>
        </is>
      </c>
      <c r="C10" t="inlineStr">
        <is>
          <t>Avverkning för att bevara och utveckla /försöksver</t>
        </is>
      </c>
      <c r="D10" s="1" t="n">
        <v>44740</v>
      </c>
      <c r="E10" s="1" t="n">
        <v>46227</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95</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HYPERLINK("https://klasma.github.io/Logging_2506/artfynd/A 26954-2022 artfynd.xlsx", "A 26954-2022")</f>
        <v/>
      </c>
      <c r="X10">
        <f>HYPERLINK("https://klasma.github.io/Logging_2506/kartor/A 26954-2022 karta.png", "A 26954-2022")</f>
        <v/>
      </c>
      <c r="Y10">
        <f>HYPERLINK("https://klasma.github.io/Logging_2506/kartor_geotiff/A 26954-2022 georefererad karta.tif", "A 26954-2022")</f>
        <v/>
      </c>
      <c r="AA10">
        <f>HYPERLINK("https://klasma.github.io/Logging_2506/klagomål/A 26954-2022 FSC-klagomål.docx", "A 26954-2022")</f>
        <v/>
      </c>
      <c r="AB10">
        <f>HYPERLINK("https://klasma.github.io/Logging_2506/klagomålsmail/A 26954-2022 FSC-klagomål mail.docx", "A 26954-2022")</f>
        <v/>
      </c>
      <c r="AC10">
        <f>HYPERLINK("https://klasma.github.io/Logging_2506/tillsyn/A 26954-2022 tillsynsbegäran.docx", "A 26954-2022")</f>
        <v/>
      </c>
      <c r="AD10">
        <f>HYPERLINK("https://klasma.github.io/Logging_2506/tillsynsmail/A 26954-2022 tillsynsbegäran mail.docx", "A 26954-2022")</f>
        <v/>
      </c>
      <c r="AE10">
        <f>HYPERLINK("https://klasma.github.io/Logging_2506/fåglar/A 26954-2022 prioriterade fågelarter.docx", "A 26954-2022")</f>
        <v/>
      </c>
    </row>
    <row r="11" ht="15" customHeight="1">
      <c r="A11" t="inlineStr">
        <is>
          <t>A 37442-2025</t>
        </is>
      </c>
      <c r="B11" t="inlineStr">
        <is>
          <t>avverkningsanmälan</t>
        </is>
      </c>
      <c r="C11" t="inlineStr">
        <is>
          <t>Föryngringsavverkning</t>
        </is>
      </c>
      <c r="D11" s="1" t="n">
        <v>45877</v>
      </c>
      <c r="E11" s="1" t="n">
        <v>46227</v>
      </c>
      <c r="F11" t="inlineStr">
        <is>
          <t>NORRBOTTENS LÄN</t>
        </is>
      </c>
      <c r="G11" t="inlineStr">
        <is>
          <t>ARJEPLOG</t>
        </is>
      </c>
      <c r="I11" t="n">
        <v>4.6</v>
      </c>
      <c r="J11" t="n">
        <v>3</v>
      </c>
      <c r="K11" t="n">
        <v>3</v>
      </c>
      <c r="L11" t="n">
        <v>17</v>
      </c>
      <c r="M11" t="n">
        <v>5</v>
      </c>
      <c r="N11" t="n">
        <v>0</v>
      </c>
      <c r="O11" t="n">
        <v>0</v>
      </c>
      <c r="P11" t="n">
        <v>0</v>
      </c>
      <c r="Q11" t="n">
        <v>22</v>
      </c>
      <c r="R11" t="n">
        <v>5</v>
      </c>
      <c r="S11" t="n">
        <v>26</v>
      </c>
      <c r="T11" t="n">
        <v>106</v>
      </c>
      <c r="U11" t="n">
        <v>106</v>
      </c>
      <c r="V11"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1">
        <f>HYPERLINK("https://klasma.github.io/Logging_2506/artfynd/A 37442-2025 artfynd.xlsx", "A 37442-2025")</f>
        <v/>
      </c>
      <c r="X11">
        <f>HYPERLINK("https://klasma.github.io/Logging_2506/kartor/A 37442-2025 karta.png", "A 37442-2025")</f>
        <v/>
      </c>
      <c r="Y11">
        <f>HYPERLINK("https://klasma.github.io/Logging_2506/kartor_geotiff/A 37442-2025 georefererad karta.tif", "A 37442-2025")</f>
        <v/>
      </c>
      <c r="AA11">
        <f>HYPERLINK("https://klasma.github.io/Logging_2506/klagomål/A 37442-2025 FSC-klagomål.docx", "A 37442-2025")</f>
        <v/>
      </c>
      <c r="AB11">
        <f>HYPERLINK("https://klasma.github.io/Logging_2506/klagomålsmail/A 37442-2025 FSC-klagomål mail.docx", "A 37442-2025")</f>
        <v/>
      </c>
      <c r="AC11">
        <f>HYPERLINK("https://klasma.github.io/Logging_2506/tillsyn/A 37442-2025 tillsynsbegäran.docx", "A 37442-2025")</f>
        <v/>
      </c>
      <c r="AD11">
        <f>HYPERLINK("https://klasma.github.io/Logging_2506/tillsynsmail/A 37442-2025 tillsynsbegäran mail.docx", "A 37442-2025")</f>
        <v/>
      </c>
      <c r="AE11">
        <f>HYPERLINK("https://klasma.github.io/Logging_2506/fåglar/A 37442-2025 prioriterade fågelarter.docx", "A 37442-2025")</f>
        <v/>
      </c>
    </row>
    <row r="12" ht="15" customHeight="1">
      <c r="A12" t="inlineStr">
        <is>
          <t>A 39728-2025</t>
        </is>
      </c>
      <c r="B12" t="inlineStr">
        <is>
          <t>avverkningsanmälan</t>
        </is>
      </c>
      <c r="C12" t="inlineStr">
        <is>
          <t>Föryngringsavverkning</t>
        </is>
      </c>
      <c r="D12" s="1" t="n">
        <v>45891</v>
      </c>
      <c r="E12" s="1" t="n">
        <v>46227</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46227</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46227</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46227</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46227</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46227</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46227</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46227</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46227</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46227</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46227</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1479-2026</t>
        </is>
      </c>
      <c r="B23" t="inlineStr">
        <is>
          <t>avverkningsanmälan</t>
        </is>
      </c>
      <c r="C23" t="inlineStr">
        <is>
          <t>Föryngringsavverkning</t>
        </is>
      </c>
      <c r="D23" s="1" t="n">
        <v>46033</v>
      </c>
      <c r="E23" s="1" t="n">
        <v>46227</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1474-2026</t>
        </is>
      </c>
      <c r="B24" t="inlineStr">
        <is>
          <t>avverkningsanmälan</t>
        </is>
      </c>
      <c r="C24" t="inlineStr">
        <is>
          <t>Föryngringsavverkning</t>
        </is>
      </c>
      <c r="D24" s="1" t="n">
        <v>46033</v>
      </c>
      <c r="E24" s="1" t="n">
        <v>46227</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45417-2024</t>
        </is>
      </c>
      <c r="B25" t="inlineStr">
        <is>
          <t>avverkningsanmälan</t>
        </is>
      </c>
      <c r="C25" t="inlineStr">
        <is>
          <t>Föryngringsavverkning</t>
        </is>
      </c>
      <c r="D25" s="1" t="n">
        <v>45576</v>
      </c>
      <c r="E25" s="1" t="n">
        <v>46227</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46227</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46227</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46227</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46227</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46227</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46227</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46227</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46227</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46227</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12403-2025</t>
        </is>
      </c>
      <c r="B35" t="inlineStr">
        <is>
          <t>avverkningsanmälan</t>
        </is>
      </c>
      <c r="C35" t="inlineStr">
        <is>
          <t>Föryngringsavverkning</t>
        </is>
      </c>
      <c r="D35" s="1" t="n">
        <v>45730</v>
      </c>
      <c r="E35" s="1" t="n">
        <v>46227</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46227</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46227</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46227</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46227</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46227</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46227</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46227</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46227</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17549-2023</t>
        </is>
      </c>
      <c r="B44" t="inlineStr">
        <is>
          <t>avverkningsanmälan</t>
        </is>
      </c>
      <c r="C44" t="inlineStr">
        <is>
          <t>Föryngringsavverkning</t>
        </is>
      </c>
      <c r="D44" s="1" t="n">
        <v>45034</v>
      </c>
      <c r="E44" s="1" t="n">
        <v>46227</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46227</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20905-2025</t>
        </is>
      </c>
      <c r="B46" t="inlineStr">
        <is>
          <t>avverkningsanmälan</t>
        </is>
      </c>
      <c r="C46" t="inlineStr">
        <is>
          <t>Föryngringsavverkning</t>
        </is>
      </c>
      <c r="D46" s="1" t="n">
        <v>45777</v>
      </c>
      <c r="E46" s="1" t="n">
        <v>46227</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10476-2026</t>
        </is>
      </c>
      <c r="B47" t="inlineStr">
        <is>
          <t>avverkningsanmälan</t>
        </is>
      </c>
      <c r="C47" t="inlineStr">
        <is>
          <t>Föryngringsavverkning</t>
        </is>
      </c>
      <c r="D47" s="1" t="n">
        <v>46076</v>
      </c>
      <c r="E47" s="1" t="n">
        <v>46227</v>
      </c>
      <c r="F47" t="inlineStr">
        <is>
          <t>NORRBOTTENS LÄN</t>
        </is>
      </c>
      <c r="G47" t="inlineStr">
        <is>
          <t>ARJEPLOG</t>
        </is>
      </c>
      <c r="I47" t="n">
        <v>3.2</v>
      </c>
      <c r="J47" t="n">
        <v>1</v>
      </c>
      <c r="K47" t="n">
        <v>1</v>
      </c>
      <c r="L47" t="n">
        <v>0</v>
      </c>
      <c r="M47" t="n">
        <v>0</v>
      </c>
      <c r="N47" t="n">
        <v>0</v>
      </c>
      <c r="O47" t="n">
        <v>0</v>
      </c>
      <c r="P47" t="n">
        <v>0</v>
      </c>
      <c r="Q47" t="n">
        <v>0</v>
      </c>
      <c r="R47" t="n">
        <v>0</v>
      </c>
      <c r="S47" t="n">
        <v>1</v>
      </c>
      <c r="T47" t="n">
        <v>1</v>
      </c>
      <c r="U47" t="n">
        <v>1</v>
      </c>
      <c r="V47" s="2" t="inlineStr">
        <is>
          <t>Spindelblomster</t>
        </is>
      </c>
      <c r="W47">
        <f>HYPERLINK("https://klasma.github.io/Logging_2506/artfynd/A 10476-2026 artfynd.xlsx", "A 10476-2026")</f>
        <v/>
      </c>
      <c r="X47">
        <f>HYPERLINK("https://klasma.github.io/Logging_2506/kartor/A 10476-2026 karta.png", "A 10476-2026")</f>
        <v/>
      </c>
      <c r="Y47">
        <f>HYPERLINK("https://klasma.github.io/Logging_2506/kartor_geotiff/A 10476-2026 georefererad karta.tif", "A 10476-2026")</f>
        <v/>
      </c>
      <c r="AA47">
        <f>HYPERLINK("https://klasma.github.io/Logging_2506/klagomål/A 10476-2026 FSC-klagomål.docx", "A 10476-2026")</f>
        <v/>
      </c>
      <c r="AB47">
        <f>HYPERLINK("https://klasma.github.io/Logging_2506/klagomålsmail/A 10476-2026 FSC-klagomål mail.docx", "A 10476-2026")</f>
        <v/>
      </c>
      <c r="AC47">
        <f>HYPERLINK("https://klasma.github.io/Logging_2506/tillsyn/A 10476-2026 tillsynsbegäran.docx", "A 10476-2026")</f>
        <v/>
      </c>
      <c r="AD47">
        <f>HYPERLINK("https://klasma.github.io/Logging_2506/tillsynsmail/A 10476-2026 tillsynsbegäran mail.docx", "A 10476-2026")</f>
        <v/>
      </c>
    </row>
    <row r="48" ht="15" customHeight="1">
      <c r="A48" t="inlineStr">
        <is>
          <t>A 66844-2021</t>
        </is>
      </c>
      <c r="B48" t="inlineStr">
        <is>
          <t>avverkningsanmälan</t>
        </is>
      </c>
      <c r="C48" t="inlineStr">
        <is>
          <t>Föryngringsavverkning</t>
        </is>
      </c>
      <c r="D48" s="1" t="n">
        <v>44520</v>
      </c>
      <c r="E48" s="1" t="n">
        <v>46227</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46227</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46227</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46227</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46227</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46227</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46227</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46227</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46227</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46227</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46227</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46227</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56785-2024</t>
        </is>
      </c>
      <c r="B60" t="inlineStr">
        <is>
          <t>avverkningsanmälan</t>
        </is>
      </c>
      <c r="C60" t="inlineStr">
        <is>
          <t>Föryngringsavverkning</t>
        </is>
      </c>
      <c r="D60" s="1" t="n">
        <v>45625</v>
      </c>
      <c r="E60" s="1" t="n">
        <v>46227</v>
      </c>
      <c r="F60" t="inlineStr">
        <is>
          <t>NORRBOTTENS LÄN</t>
        </is>
      </c>
      <c r="G60" t="inlineStr">
        <is>
          <t>ARJEPLOG</t>
        </is>
      </c>
      <c r="I60" t="n">
        <v>11.2</v>
      </c>
      <c r="J60" t="n">
        <v>0</v>
      </c>
      <c r="K60" t="n">
        <v>0</v>
      </c>
      <c r="L60" t="n">
        <v>0</v>
      </c>
      <c r="M60" t="n">
        <v>0</v>
      </c>
      <c r="N60" t="n">
        <v>0</v>
      </c>
      <c r="O60" t="n">
        <v>0</v>
      </c>
      <c r="P60" t="n">
        <v>0</v>
      </c>
      <c r="Q60" t="n">
        <v>0</v>
      </c>
      <c r="R60" t="n">
        <v>0</v>
      </c>
      <c r="S60" t="n">
        <v>0</v>
      </c>
      <c r="T60" t="n">
        <v>0</v>
      </c>
      <c r="U60" t="n">
        <v>0</v>
      </c>
      <c r="V60" s="2" t="inlineStr"/>
    </row>
    <row r="61" ht="15" customHeight="1">
      <c r="A61" t="inlineStr">
        <is>
          <t>A 56276-2021</t>
        </is>
      </c>
      <c r="B61" t="inlineStr">
        <is>
          <t>avverkningsanmälan</t>
        </is>
      </c>
      <c r="C61" t="inlineStr">
        <is>
          <t>Avverkning för annat ändamål</t>
        </is>
      </c>
      <c r="D61" s="1" t="n">
        <v>44479</v>
      </c>
      <c r="E61" s="1" t="n">
        <v>46227</v>
      </c>
      <c r="F61" t="inlineStr">
        <is>
          <t>NORRBOTTENS LÄN</t>
        </is>
      </c>
      <c r="G61" t="inlineStr">
        <is>
          <t>ARJEPLOG</t>
        </is>
      </c>
      <c r="I61" t="n">
        <v>19.8</v>
      </c>
      <c r="J61" t="n">
        <v>0</v>
      </c>
      <c r="K61" t="n">
        <v>0</v>
      </c>
      <c r="L61" t="n">
        <v>0</v>
      </c>
      <c r="M61" t="n">
        <v>0</v>
      </c>
      <c r="N61" t="n">
        <v>0</v>
      </c>
      <c r="O61" t="n">
        <v>0</v>
      </c>
      <c r="P61" t="n">
        <v>0</v>
      </c>
      <c r="Q61" t="n">
        <v>0</v>
      </c>
      <c r="R61" t="n">
        <v>0</v>
      </c>
      <c r="S61" t="n">
        <v>0</v>
      </c>
      <c r="T61" t="n">
        <v>0</v>
      </c>
      <c r="U61" t="n">
        <v>0</v>
      </c>
      <c r="V61" s="2" t="inlineStr"/>
    </row>
    <row r="62" ht="15" customHeight="1">
      <c r="A62" t="inlineStr">
        <is>
          <t>A 26103-2024</t>
        </is>
      </c>
      <c r="B62" t="inlineStr">
        <is>
          <t>avverkningsanmälan</t>
        </is>
      </c>
      <c r="C62" t="inlineStr">
        <is>
          <t>Föryngringsavverkning</t>
        </is>
      </c>
      <c r="D62" s="1" t="n">
        <v>45467</v>
      </c>
      <c r="E62" s="1" t="n">
        <v>46227</v>
      </c>
      <c r="F62" t="inlineStr">
        <is>
          <t>NORRBOTTENS LÄN</t>
        </is>
      </c>
      <c r="G62" t="inlineStr">
        <is>
          <t>ARJEPLOG</t>
        </is>
      </c>
      <c r="I62" t="n">
        <v>17.2</v>
      </c>
      <c r="J62" t="n">
        <v>0</v>
      </c>
      <c r="K62" t="n">
        <v>0</v>
      </c>
      <c r="L62" t="n">
        <v>0</v>
      </c>
      <c r="M62" t="n">
        <v>0</v>
      </c>
      <c r="N62" t="n">
        <v>0</v>
      </c>
      <c r="O62" t="n">
        <v>0</v>
      </c>
      <c r="P62" t="n">
        <v>0</v>
      </c>
      <c r="Q62" t="n">
        <v>0</v>
      </c>
      <c r="R62" t="n">
        <v>0</v>
      </c>
      <c r="S62" t="n">
        <v>0</v>
      </c>
      <c r="T62" t="n">
        <v>0</v>
      </c>
      <c r="U62" t="n">
        <v>0</v>
      </c>
      <c r="V62" s="2" t="inlineStr"/>
    </row>
    <row r="63" ht="15" customHeight="1">
      <c r="A63" t="inlineStr">
        <is>
          <t>A 35194-2024</t>
        </is>
      </c>
      <c r="B63" t="inlineStr">
        <is>
          <t>avverkningsanmälan</t>
        </is>
      </c>
      <c r="C63" t="inlineStr">
        <is>
          <t>Föryngringsavverkning</t>
        </is>
      </c>
      <c r="D63" s="1" t="n">
        <v>45530</v>
      </c>
      <c r="E63" s="1" t="n">
        <v>46227</v>
      </c>
      <c r="F63" t="inlineStr">
        <is>
          <t>NORRBOTTENS LÄN</t>
        </is>
      </c>
      <c r="G63" t="inlineStr">
        <is>
          <t>ARJEPLOG</t>
        </is>
      </c>
      <c r="I63" t="n">
        <v>20.1</v>
      </c>
      <c r="J63" t="n">
        <v>0</v>
      </c>
      <c r="K63" t="n">
        <v>0</v>
      </c>
      <c r="L63" t="n">
        <v>0</v>
      </c>
      <c r="M63" t="n">
        <v>0</v>
      </c>
      <c r="N63" t="n">
        <v>0</v>
      </c>
      <c r="O63" t="n">
        <v>0</v>
      </c>
      <c r="P63" t="n">
        <v>0</v>
      </c>
      <c r="Q63" t="n">
        <v>0</v>
      </c>
      <c r="R63" t="n">
        <v>0</v>
      </c>
      <c r="S63" t="n">
        <v>0</v>
      </c>
      <c r="T63" t="n">
        <v>0</v>
      </c>
      <c r="U63" t="n">
        <v>0</v>
      </c>
      <c r="V63" s="2" t="inlineStr"/>
    </row>
    <row r="64" ht="15" customHeight="1">
      <c r="A64" t="inlineStr">
        <is>
          <t>A 526-2025</t>
        </is>
      </c>
      <c r="B64" t="inlineStr">
        <is>
          <t>avverkningsanmälan</t>
        </is>
      </c>
      <c r="C64" t="inlineStr">
        <is>
          <t>Avverkning för annat ändamål</t>
        </is>
      </c>
      <c r="D64" s="1" t="n">
        <v>45664</v>
      </c>
      <c r="E64" s="1" t="n">
        <v>46227</v>
      </c>
      <c r="F64" t="inlineStr">
        <is>
          <t>NORRBOTTENS LÄN</t>
        </is>
      </c>
      <c r="G64" t="inlineStr">
        <is>
          <t>ARJEPLOG</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43045-2022</t>
        </is>
      </c>
      <c r="B65" t="inlineStr">
        <is>
          <t>avverkningsanmälan</t>
        </is>
      </c>
      <c r="C65" t="inlineStr">
        <is>
          <t>Föryngringsavverkning</t>
        </is>
      </c>
      <c r="D65" s="1" t="n">
        <v>44833</v>
      </c>
      <c r="E65" s="1" t="n">
        <v>46227</v>
      </c>
      <c r="F65" t="inlineStr">
        <is>
          <t>NORRBOTTENS LÄN</t>
        </is>
      </c>
      <c r="G65" t="inlineStr">
        <is>
          <t>ARJEPLOG</t>
        </is>
      </c>
      <c r="I65" t="n">
        <v>24.6</v>
      </c>
      <c r="J65" t="n">
        <v>0</v>
      </c>
      <c r="K65" t="n">
        <v>0</v>
      </c>
      <c r="L65" t="n">
        <v>0</v>
      </c>
      <c r="M65" t="n">
        <v>0</v>
      </c>
      <c r="N65" t="n">
        <v>0</v>
      </c>
      <c r="O65" t="n">
        <v>0</v>
      </c>
      <c r="P65" t="n">
        <v>0</v>
      </c>
      <c r="Q65" t="n">
        <v>0</v>
      </c>
      <c r="R65" t="n">
        <v>0</v>
      </c>
      <c r="S65" t="n">
        <v>0</v>
      </c>
      <c r="T65" t="n">
        <v>0</v>
      </c>
      <c r="U65" t="n">
        <v>0</v>
      </c>
      <c r="V65" s="2" t="inlineStr"/>
    </row>
    <row r="66" ht="15" customHeight="1">
      <c r="A66" t="inlineStr">
        <is>
          <t>A 64832-2023</t>
        </is>
      </c>
      <c r="B66" t="inlineStr">
        <is>
          <t>avverkningsanmälan</t>
        </is>
      </c>
      <c r="C66" t="inlineStr">
        <is>
          <t>Föryngringsavverkning</t>
        </is>
      </c>
      <c r="D66" s="1" t="n">
        <v>45281</v>
      </c>
      <c r="E66" s="1" t="n">
        <v>46227</v>
      </c>
      <c r="F66" t="inlineStr">
        <is>
          <t>NORRBOTTENS LÄN</t>
        </is>
      </c>
      <c r="G66" t="inlineStr">
        <is>
          <t>ARJEPLOG</t>
        </is>
      </c>
      <c r="I66" t="n">
        <v>43.6</v>
      </c>
      <c r="J66" t="n">
        <v>0</v>
      </c>
      <c r="K66" t="n">
        <v>0</v>
      </c>
      <c r="L66" t="n">
        <v>0</v>
      </c>
      <c r="M66" t="n">
        <v>0</v>
      </c>
      <c r="N66" t="n">
        <v>0</v>
      </c>
      <c r="O66" t="n">
        <v>0</v>
      </c>
      <c r="P66" t="n">
        <v>0</v>
      </c>
      <c r="Q66" t="n">
        <v>0</v>
      </c>
      <c r="R66" t="n">
        <v>0</v>
      </c>
      <c r="S66" t="n">
        <v>0</v>
      </c>
      <c r="T66" t="n">
        <v>0</v>
      </c>
      <c r="U66" t="n">
        <v>0</v>
      </c>
      <c r="V66" s="2" t="inlineStr"/>
    </row>
    <row r="67" ht="15" customHeight="1">
      <c r="A67" t="inlineStr">
        <is>
          <t>A 43045-2022</t>
        </is>
      </c>
      <c r="B67" t="inlineStr">
        <is>
          <t>avverkningsanmälan</t>
        </is>
      </c>
      <c r="C67" t="inlineStr">
        <is>
          <t>Föryngringsavverkning</t>
        </is>
      </c>
      <c r="D67" s="1" t="n">
        <v>44833</v>
      </c>
      <c r="E67" s="1" t="n">
        <v>46227</v>
      </c>
      <c r="F67" t="inlineStr">
        <is>
          <t>NORRBOTTENS LÄN</t>
        </is>
      </c>
      <c r="G67" t="inlineStr">
        <is>
          <t>ARJEPLOG</t>
        </is>
      </c>
      <c r="I67" t="n">
        <v>23.2</v>
      </c>
      <c r="J67" t="n">
        <v>0</v>
      </c>
      <c r="K67" t="n">
        <v>0</v>
      </c>
      <c r="L67" t="n">
        <v>0</v>
      </c>
      <c r="M67" t="n">
        <v>0</v>
      </c>
      <c r="N67" t="n">
        <v>0</v>
      </c>
      <c r="O67" t="n">
        <v>0</v>
      </c>
      <c r="P67" t="n">
        <v>0</v>
      </c>
      <c r="Q67" t="n">
        <v>0</v>
      </c>
      <c r="R67" t="n">
        <v>0</v>
      </c>
      <c r="S67" t="n">
        <v>0</v>
      </c>
      <c r="T67" t="n">
        <v>0</v>
      </c>
      <c r="U67" t="n">
        <v>0</v>
      </c>
      <c r="V67" s="2" t="inlineStr"/>
    </row>
    <row r="68" ht="15" customHeight="1">
      <c r="A68" t="inlineStr">
        <is>
          <t>A 36623-2023</t>
        </is>
      </c>
      <c r="B68" t="inlineStr">
        <is>
          <t>avverkningsanmälan</t>
        </is>
      </c>
      <c r="C68" t="inlineStr">
        <is>
          <t>Föryngringsavverkning</t>
        </is>
      </c>
      <c r="D68" s="1" t="n">
        <v>45153</v>
      </c>
      <c r="E68" s="1" t="n">
        <v>46227</v>
      </c>
      <c r="F68" t="inlineStr">
        <is>
          <t>NORRBOTTENS LÄN</t>
        </is>
      </c>
      <c r="G68" t="inlineStr">
        <is>
          <t>ARJEPLOG</t>
        </is>
      </c>
      <c r="H68" t="inlineStr">
        <is>
          <t>Sveaskog</t>
        </is>
      </c>
      <c r="I68" t="n">
        <v>16.9</v>
      </c>
      <c r="J68" t="n">
        <v>0</v>
      </c>
      <c r="K68" t="n">
        <v>0</v>
      </c>
      <c r="L68" t="n">
        <v>0</v>
      </c>
      <c r="M68" t="n">
        <v>0</v>
      </c>
      <c r="N68" t="n">
        <v>0</v>
      </c>
      <c r="O68" t="n">
        <v>0</v>
      </c>
      <c r="P68" t="n">
        <v>0</v>
      </c>
      <c r="Q68" t="n">
        <v>0</v>
      </c>
      <c r="R68" t="n">
        <v>0</v>
      </c>
      <c r="S68" t="n">
        <v>0</v>
      </c>
      <c r="T68" t="n">
        <v>0</v>
      </c>
      <c r="U68" t="n">
        <v>0</v>
      </c>
      <c r="V68" s="2" t="inlineStr"/>
    </row>
    <row r="69" ht="15" customHeight="1">
      <c r="A69" t="inlineStr">
        <is>
          <t>A 35627-2025</t>
        </is>
      </c>
      <c r="B69" t="inlineStr">
        <is>
          <t>avverkningsanmälan</t>
        </is>
      </c>
      <c r="C69" t="inlineStr">
        <is>
          <t>Föryngringsavverkning</t>
        </is>
      </c>
      <c r="D69" s="1" t="n">
        <v>45859</v>
      </c>
      <c r="E69" s="1" t="n">
        <v>46227</v>
      </c>
      <c r="F69" t="inlineStr">
        <is>
          <t>NORRBOTTENS LÄN</t>
        </is>
      </c>
      <c r="G69" t="inlineStr">
        <is>
          <t>ARJEPLOG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55570-2025</t>
        </is>
      </c>
      <c r="B70" t="inlineStr">
        <is>
          <t>avverkningsanmälan</t>
        </is>
      </c>
      <c r="C70" t="inlineStr">
        <is>
          <t>Föryngringsavverkning</t>
        </is>
      </c>
      <c r="D70" s="1" t="n">
        <v>45971</v>
      </c>
      <c r="E70" s="1" t="n">
        <v>46227</v>
      </c>
      <c r="F70" t="inlineStr">
        <is>
          <t>NORRBOTTENS LÄN</t>
        </is>
      </c>
      <c r="G70" t="inlineStr">
        <is>
          <t>ARJEPLOG</t>
        </is>
      </c>
      <c r="H70" t="inlineStr">
        <is>
          <t>Övriga statliga verk och myndigheter</t>
        </is>
      </c>
      <c r="I70" t="n">
        <v>10.6</v>
      </c>
      <c r="J70" t="n">
        <v>0</v>
      </c>
      <c r="K70" t="n">
        <v>0</v>
      </c>
      <c r="L70" t="n">
        <v>0</v>
      </c>
      <c r="M70" t="n">
        <v>0</v>
      </c>
      <c r="N70" t="n">
        <v>0</v>
      </c>
      <c r="O70" t="n">
        <v>0</v>
      </c>
      <c r="P70" t="n">
        <v>0</v>
      </c>
      <c r="Q70" t="n">
        <v>0</v>
      </c>
      <c r="R70" t="n">
        <v>0</v>
      </c>
      <c r="S70" t="n">
        <v>0</v>
      </c>
      <c r="T70" t="n">
        <v>0</v>
      </c>
      <c r="U70" t="n">
        <v>0</v>
      </c>
      <c r="V70" s="2" t="inlineStr"/>
    </row>
    <row r="71" ht="15" customHeight="1">
      <c r="A71" t="inlineStr">
        <is>
          <t>A 34426-2025</t>
        </is>
      </c>
      <c r="B71" t="inlineStr">
        <is>
          <t>avverkningsanmälan</t>
        </is>
      </c>
      <c r="C71" t="inlineStr">
        <is>
          <t>Föryngringsavverkning</t>
        </is>
      </c>
      <c r="D71" s="1" t="n">
        <v>45845</v>
      </c>
      <c r="E71" s="1" t="n">
        <v>46227</v>
      </c>
      <c r="F71" t="inlineStr">
        <is>
          <t>NORRBOTTENS LÄN</t>
        </is>
      </c>
      <c r="G71" t="inlineStr">
        <is>
          <t>ARJEPLOG</t>
        </is>
      </c>
      <c r="I71" t="n">
        <v>4.3</v>
      </c>
      <c r="J71" t="n">
        <v>0</v>
      </c>
      <c r="K71" t="n">
        <v>0</v>
      </c>
      <c r="L71" t="n">
        <v>0</v>
      </c>
      <c r="M71" t="n">
        <v>0</v>
      </c>
      <c r="N71" t="n">
        <v>0</v>
      </c>
      <c r="O71" t="n">
        <v>0</v>
      </c>
      <c r="P71" t="n">
        <v>0</v>
      </c>
      <c r="Q71" t="n">
        <v>0</v>
      </c>
      <c r="R71" t="n">
        <v>0</v>
      </c>
      <c r="S71" t="n">
        <v>0</v>
      </c>
      <c r="T71" t="n">
        <v>0</v>
      </c>
      <c r="U71" t="n">
        <v>0</v>
      </c>
      <c r="V71" s="2" t="inlineStr"/>
    </row>
    <row r="72" ht="15" customHeight="1">
      <c r="A72" t="inlineStr">
        <is>
          <t>A 42331-2025</t>
        </is>
      </c>
      <c r="B72" t="inlineStr">
        <is>
          <t>avverkningsanmälan</t>
        </is>
      </c>
      <c r="C72" t="inlineStr">
        <is>
          <t>Föryngringsavverkning</t>
        </is>
      </c>
      <c r="D72" s="1" t="n">
        <v>45903</v>
      </c>
      <c r="E72" s="1" t="n">
        <v>46227</v>
      </c>
      <c r="F72" t="inlineStr">
        <is>
          <t>NORRBOTTENS LÄN</t>
        </is>
      </c>
      <c r="G72" t="inlineStr">
        <is>
          <t>ARJEPLOG</t>
        </is>
      </c>
      <c r="I72" t="n">
        <v>10</v>
      </c>
      <c r="J72" t="n">
        <v>0</v>
      </c>
      <c r="K72" t="n">
        <v>0</v>
      </c>
      <c r="L72" t="n">
        <v>0</v>
      </c>
      <c r="M72" t="n">
        <v>0</v>
      </c>
      <c r="N72" t="n">
        <v>0</v>
      </c>
      <c r="O72" t="n">
        <v>0</v>
      </c>
      <c r="P72" t="n">
        <v>0</v>
      </c>
      <c r="Q72" t="n">
        <v>0</v>
      </c>
      <c r="R72" t="n">
        <v>0</v>
      </c>
      <c r="S72" t="n">
        <v>0</v>
      </c>
      <c r="T72" t="n">
        <v>0</v>
      </c>
      <c r="U72" t="n">
        <v>0</v>
      </c>
      <c r="V72" s="2" t="inlineStr"/>
    </row>
    <row r="73" ht="15" customHeight="1">
      <c r="A73" t="inlineStr">
        <is>
          <t>A 42597-2025</t>
        </is>
      </c>
      <c r="B73" t="inlineStr">
        <is>
          <t>avverkningsanmälan</t>
        </is>
      </c>
      <c r="C73" t="inlineStr">
        <is>
          <t>Föryngringsavverkning</t>
        </is>
      </c>
      <c r="D73" s="1" t="n">
        <v>45905</v>
      </c>
      <c r="E73" s="1" t="n">
        <v>46227</v>
      </c>
      <c r="F73" t="inlineStr">
        <is>
          <t>NORRBOTTENS LÄN</t>
        </is>
      </c>
      <c r="G73" t="inlineStr">
        <is>
          <t>ARJEPLOG</t>
        </is>
      </c>
      <c r="I73" t="n">
        <v>9.199999999999999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31104-2025</t>
        </is>
      </c>
      <c r="B74" t="inlineStr">
        <is>
          <t>avverkningsanmälan</t>
        </is>
      </c>
      <c r="C74" t="inlineStr">
        <is>
          <t>Föryngringsavverkning</t>
        </is>
      </c>
      <c r="D74" s="1" t="n">
        <v>45832</v>
      </c>
      <c r="E74" s="1" t="n">
        <v>46227</v>
      </c>
      <c r="F74" t="inlineStr">
        <is>
          <t>NORRBOTTENS LÄN</t>
        </is>
      </c>
      <c r="G74" t="inlineStr">
        <is>
          <t>ARJEPLOG</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25275-2023</t>
        </is>
      </c>
      <c r="B75" t="inlineStr">
        <is>
          <t>avverkningsanmälan</t>
        </is>
      </c>
      <c r="C75" t="inlineStr">
        <is>
          <t>Föryngringsavverkning</t>
        </is>
      </c>
      <c r="D75" s="1" t="n">
        <v>45079</v>
      </c>
      <c r="E75" s="1" t="n">
        <v>46227</v>
      </c>
      <c r="F75" t="inlineStr">
        <is>
          <t>NORRBOTTENS LÄN</t>
        </is>
      </c>
      <c r="G75" t="inlineStr">
        <is>
          <t>ARJEPLOG</t>
        </is>
      </c>
      <c r="H75" t="inlineStr">
        <is>
          <t>Övriga statliga verk och myndigheter</t>
        </is>
      </c>
      <c r="I75" t="n">
        <v>22.7</v>
      </c>
      <c r="J75" t="n">
        <v>0</v>
      </c>
      <c r="K75" t="n">
        <v>0</v>
      </c>
      <c r="L75" t="n">
        <v>0</v>
      </c>
      <c r="M75" t="n">
        <v>0</v>
      </c>
      <c r="N75" t="n">
        <v>0</v>
      </c>
      <c r="O75" t="n">
        <v>0</v>
      </c>
      <c r="P75" t="n">
        <v>0</v>
      </c>
      <c r="Q75" t="n">
        <v>0</v>
      </c>
      <c r="R75" t="n">
        <v>0</v>
      </c>
      <c r="S75" t="n">
        <v>0</v>
      </c>
      <c r="T75" t="n">
        <v>0</v>
      </c>
      <c r="U75" t="n">
        <v>0</v>
      </c>
      <c r="V75" s="2" t="inlineStr"/>
    </row>
    <row r="76" ht="15" customHeight="1">
      <c r="A76" t="inlineStr">
        <is>
          <t>A 42526-2025</t>
        </is>
      </c>
      <c r="B76" t="inlineStr">
        <is>
          <t>avverkningsanmälan</t>
        </is>
      </c>
      <c r="C76" t="inlineStr">
        <is>
          <t>Föryngringsavverkning</t>
        </is>
      </c>
      <c r="D76" s="1" t="n">
        <v>45905</v>
      </c>
      <c r="E76" s="1" t="n">
        <v>46227</v>
      </c>
      <c r="F76" t="inlineStr">
        <is>
          <t>NORRBOTTENS LÄN</t>
        </is>
      </c>
      <c r="G76" t="inlineStr">
        <is>
          <t>ARJEPLOG</t>
        </is>
      </c>
      <c r="I76" t="n">
        <v>12.5</v>
      </c>
      <c r="J76" t="n">
        <v>0</v>
      </c>
      <c r="K76" t="n">
        <v>0</v>
      </c>
      <c r="L76" t="n">
        <v>0</v>
      </c>
      <c r="M76" t="n">
        <v>0</v>
      </c>
      <c r="N76" t="n">
        <v>0</v>
      </c>
      <c r="O76" t="n">
        <v>0</v>
      </c>
      <c r="P76" t="n">
        <v>0</v>
      </c>
      <c r="Q76" t="n">
        <v>0</v>
      </c>
      <c r="R76" t="n">
        <v>0</v>
      </c>
      <c r="S76" t="n">
        <v>0</v>
      </c>
      <c r="T76" t="n">
        <v>0</v>
      </c>
      <c r="U76" t="n">
        <v>0</v>
      </c>
      <c r="V76" s="2" t="inlineStr"/>
    </row>
    <row r="77" ht="15" customHeight="1">
      <c r="A77" t="inlineStr">
        <is>
          <t>A 23949-2024</t>
        </is>
      </c>
      <c r="B77" t="inlineStr">
        <is>
          <t>avverkningsanmälan</t>
        </is>
      </c>
      <c r="C77" t="inlineStr">
        <is>
          <t>Föryngringsavverkning</t>
        </is>
      </c>
      <c r="D77" s="1" t="n">
        <v>45455</v>
      </c>
      <c r="E77" s="1" t="n">
        <v>46227</v>
      </c>
      <c r="F77" t="inlineStr">
        <is>
          <t>NORRBOTTENS LÄN</t>
        </is>
      </c>
      <c r="G77" t="inlineStr">
        <is>
          <t>ARJEPLOG</t>
        </is>
      </c>
      <c r="H77" t="inlineStr">
        <is>
          <t>SCA</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17536-2023</t>
        </is>
      </c>
      <c r="B78" t="inlineStr">
        <is>
          <t>avverkningsanmälan</t>
        </is>
      </c>
      <c r="C78" t="inlineStr">
        <is>
          <t>Föryngringsavverkning</t>
        </is>
      </c>
      <c r="D78" s="1" t="n">
        <v>45034</v>
      </c>
      <c r="E78" s="1" t="n">
        <v>46227</v>
      </c>
      <c r="F78" t="inlineStr">
        <is>
          <t>NORRBOTTENS LÄN</t>
        </is>
      </c>
      <c r="G78" t="inlineStr">
        <is>
          <t>ARJEPLOG</t>
        </is>
      </c>
      <c r="H78" t="inlineStr">
        <is>
          <t>Övriga statliga verk och myndigheter</t>
        </is>
      </c>
      <c r="I78" t="n">
        <v>20.3</v>
      </c>
      <c r="J78" t="n">
        <v>0</v>
      </c>
      <c r="K78" t="n">
        <v>0</v>
      </c>
      <c r="L78" t="n">
        <v>0</v>
      </c>
      <c r="M78" t="n">
        <v>0</v>
      </c>
      <c r="N78" t="n">
        <v>0</v>
      </c>
      <c r="O78" t="n">
        <v>0</v>
      </c>
      <c r="P78" t="n">
        <v>0</v>
      </c>
      <c r="Q78" t="n">
        <v>0</v>
      </c>
      <c r="R78" t="n">
        <v>0</v>
      </c>
      <c r="S78" t="n">
        <v>0</v>
      </c>
      <c r="T78" t="n">
        <v>0</v>
      </c>
      <c r="U78" t="n">
        <v>0</v>
      </c>
      <c r="V78" s="2" t="inlineStr"/>
    </row>
    <row r="79" ht="15" customHeight="1">
      <c r="A79" t="inlineStr">
        <is>
          <t>A 390-2026</t>
        </is>
      </c>
      <c r="B79" t="inlineStr">
        <is>
          <t>avverkningsanmälan</t>
        </is>
      </c>
      <c r="C79" t="inlineStr">
        <is>
          <t>Föryngringsavverkning</t>
        </is>
      </c>
      <c r="D79" s="1" t="n">
        <v>46028</v>
      </c>
      <c r="E79" s="1" t="n">
        <v>46227</v>
      </c>
      <c r="F79" t="inlineStr">
        <is>
          <t>NORRBOTTENS LÄN</t>
        </is>
      </c>
      <c r="G79" t="inlineStr">
        <is>
          <t>ARJEPLOG</t>
        </is>
      </c>
      <c r="I79" t="n">
        <v>19.5</v>
      </c>
      <c r="J79" t="n">
        <v>0</v>
      </c>
      <c r="K79" t="n">
        <v>0</v>
      </c>
      <c r="L79" t="n">
        <v>0</v>
      </c>
      <c r="M79" t="n">
        <v>0</v>
      </c>
      <c r="N79" t="n">
        <v>0</v>
      </c>
      <c r="O79" t="n">
        <v>0</v>
      </c>
      <c r="P79" t="n">
        <v>0</v>
      </c>
      <c r="Q79" t="n">
        <v>0</v>
      </c>
      <c r="R79" t="n">
        <v>0</v>
      </c>
      <c r="S79" t="n">
        <v>0</v>
      </c>
      <c r="T79" t="n">
        <v>0</v>
      </c>
      <c r="U79" t="n">
        <v>0</v>
      </c>
      <c r="V79" s="2" t="inlineStr"/>
    </row>
    <row r="80" ht="15" customHeight="1">
      <c r="A80" t="inlineStr">
        <is>
          <t>A 25559-2022</t>
        </is>
      </c>
      <c r="B80" t="inlineStr">
        <is>
          <t>avverkningsanmälan</t>
        </is>
      </c>
      <c r="C80" t="inlineStr">
        <is>
          <t>Föryngringsavverkning</t>
        </is>
      </c>
      <c r="D80" s="1" t="n">
        <v>44732</v>
      </c>
      <c r="E80" s="1" t="n">
        <v>46227</v>
      </c>
      <c r="F80" t="inlineStr">
        <is>
          <t>NORRBOTTENS LÄN</t>
        </is>
      </c>
      <c r="G80" t="inlineStr">
        <is>
          <t>ARJEPLOG</t>
        </is>
      </c>
      <c r="H80" t="inlineStr">
        <is>
          <t>Övriga statliga verk och myndigheter</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55422-2021</t>
        </is>
      </c>
      <c r="B81" t="inlineStr">
        <is>
          <t>avverkningsanmälan</t>
        </is>
      </c>
      <c r="C81" t="inlineStr">
        <is>
          <t>Avverkning för annat ändamål</t>
        </is>
      </c>
      <c r="D81" s="1" t="n">
        <v>44475</v>
      </c>
      <c r="E81" s="1" t="n">
        <v>46227</v>
      </c>
      <c r="F81" t="inlineStr">
        <is>
          <t>NORRBOTTENS LÄN</t>
        </is>
      </c>
      <c r="G81" t="inlineStr">
        <is>
          <t>ARJEPLOG</t>
        </is>
      </c>
      <c r="H81" t="inlineStr">
        <is>
          <t>Sveaskog</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59887-2025</t>
        </is>
      </c>
      <c r="B82" t="inlineStr">
        <is>
          <t>avverkningsanmälan</t>
        </is>
      </c>
      <c r="C82" t="inlineStr">
        <is>
          <t>Föryngringsavverkning</t>
        </is>
      </c>
      <c r="D82" s="1" t="n">
        <v>45993</v>
      </c>
      <c r="E82" s="1" t="n">
        <v>46227</v>
      </c>
      <c r="F82" t="inlineStr">
        <is>
          <t>NORRBOTTENS LÄN</t>
        </is>
      </c>
      <c r="G82" t="inlineStr">
        <is>
          <t>ARJEPLOG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29662-2025</t>
        </is>
      </c>
      <c r="B83" t="inlineStr">
        <is>
          <t>avverkningsanmälan</t>
        </is>
      </c>
      <c r="C83" t="inlineStr">
        <is>
          <t>Föryngringsavverkning</t>
        </is>
      </c>
      <c r="D83" s="1" t="n">
        <v>45825</v>
      </c>
      <c r="E83" s="1" t="n">
        <v>46227</v>
      </c>
      <c r="F83" t="inlineStr">
        <is>
          <t>NORRBOTTENS LÄN</t>
        </is>
      </c>
      <c r="G83" t="inlineStr">
        <is>
          <t>ARJEPLOG</t>
        </is>
      </c>
      <c r="H83" t="inlineStr">
        <is>
          <t>Allmännings- och besparingsskogar</t>
        </is>
      </c>
      <c r="I83" t="n">
        <v>23.7</v>
      </c>
      <c r="J83" t="n">
        <v>0</v>
      </c>
      <c r="K83" t="n">
        <v>0</v>
      </c>
      <c r="L83" t="n">
        <v>0</v>
      </c>
      <c r="M83" t="n">
        <v>0</v>
      </c>
      <c r="N83" t="n">
        <v>0</v>
      </c>
      <c r="O83" t="n">
        <v>0</v>
      </c>
      <c r="P83" t="n">
        <v>0</v>
      </c>
      <c r="Q83" t="n">
        <v>0</v>
      </c>
      <c r="R83" t="n">
        <v>0</v>
      </c>
      <c r="S83" t="n">
        <v>0</v>
      </c>
      <c r="T83" t="n">
        <v>0</v>
      </c>
      <c r="U83" t="n">
        <v>0</v>
      </c>
      <c r="V83" s="2" t="inlineStr"/>
    </row>
    <row r="84" ht="15" customHeight="1">
      <c r="A84" t="inlineStr">
        <is>
          <t>A 60767-2025</t>
        </is>
      </c>
      <c r="B84" t="inlineStr">
        <is>
          <t>avverkningsanmälan</t>
        </is>
      </c>
      <c r="C84" t="inlineStr">
        <is>
          <t>Föryngringsavverkning</t>
        </is>
      </c>
      <c r="D84" s="1" t="n">
        <v>45999</v>
      </c>
      <c r="E84" s="1" t="n">
        <v>46227</v>
      </c>
      <c r="F84" t="inlineStr">
        <is>
          <t>NORRBOTTENS LÄN</t>
        </is>
      </c>
      <c r="G84" t="inlineStr">
        <is>
          <t>ARJEPLOG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60766-2025</t>
        </is>
      </c>
      <c r="B85" t="inlineStr">
        <is>
          <t>avverkningsanmälan</t>
        </is>
      </c>
      <c r="C85" t="inlineStr">
        <is>
          <t>Föryngringsavverkning</t>
        </is>
      </c>
      <c r="D85" s="1" t="n">
        <v>45999</v>
      </c>
      <c r="E85" s="1" t="n">
        <v>46227</v>
      </c>
      <c r="F85" t="inlineStr">
        <is>
          <t>NORRBOTTENS LÄN</t>
        </is>
      </c>
      <c r="G85" t="inlineStr">
        <is>
          <t>ARJEPLOG</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50255-2023</t>
        </is>
      </c>
      <c r="B86" t="inlineStr">
        <is>
          <t>avverkningsanmälan</t>
        </is>
      </c>
      <c r="C86" t="inlineStr">
        <is>
          <t>Föryngringsavverkning</t>
        </is>
      </c>
      <c r="D86" s="1" t="n">
        <v>45216</v>
      </c>
      <c r="E86" s="1" t="n">
        <v>46227</v>
      </c>
      <c r="F86" t="inlineStr">
        <is>
          <t>NORRBOTTENS LÄN</t>
        </is>
      </c>
      <c r="G86" t="inlineStr">
        <is>
          <t>ARJEPLOG</t>
        </is>
      </c>
      <c r="I86" t="n">
        <v>20</v>
      </c>
      <c r="J86" t="n">
        <v>0</v>
      </c>
      <c r="K86" t="n">
        <v>0</v>
      </c>
      <c r="L86" t="n">
        <v>0</v>
      </c>
      <c r="M86" t="n">
        <v>0</v>
      </c>
      <c r="N86" t="n">
        <v>0</v>
      </c>
      <c r="O86" t="n">
        <v>0</v>
      </c>
      <c r="P86" t="n">
        <v>0</v>
      </c>
      <c r="Q86" t="n">
        <v>0</v>
      </c>
      <c r="R86" t="n">
        <v>0</v>
      </c>
      <c r="S86" t="n">
        <v>0</v>
      </c>
      <c r="T86" t="n">
        <v>0</v>
      </c>
      <c r="U86" t="n">
        <v>0</v>
      </c>
      <c r="V86" s="2" t="inlineStr"/>
    </row>
    <row r="87" ht="15" customHeight="1">
      <c r="A87" t="inlineStr">
        <is>
          <t>A 46747-2025</t>
        </is>
      </c>
      <c r="B87" t="inlineStr">
        <is>
          <t>avverkningsanmälan</t>
        </is>
      </c>
      <c r="C87" t="inlineStr">
        <is>
          <t>Föryngringsavverkning</t>
        </is>
      </c>
      <c r="D87" s="1" t="n">
        <v>45926</v>
      </c>
      <c r="E87" s="1" t="n">
        <v>46227</v>
      </c>
      <c r="F87" t="inlineStr">
        <is>
          <t>NORRBOTTENS LÄN</t>
        </is>
      </c>
      <c r="G87" t="inlineStr">
        <is>
          <t>ARJEPLOG</t>
        </is>
      </c>
      <c r="I87" t="n">
        <v>19.7</v>
      </c>
      <c r="J87" t="n">
        <v>0</v>
      </c>
      <c r="K87" t="n">
        <v>0</v>
      </c>
      <c r="L87" t="n">
        <v>0</v>
      </c>
      <c r="M87" t="n">
        <v>0</v>
      </c>
      <c r="N87" t="n">
        <v>0</v>
      </c>
      <c r="O87" t="n">
        <v>0</v>
      </c>
      <c r="P87" t="n">
        <v>0</v>
      </c>
      <c r="Q87" t="n">
        <v>0</v>
      </c>
      <c r="R87" t="n">
        <v>0</v>
      </c>
      <c r="S87" t="n">
        <v>0</v>
      </c>
      <c r="T87" t="n">
        <v>0</v>
      </c>
      <c r="U87" t="n">
        <v>0</v>
      </c>
      <c r="V87" s="2" t="inlineStr"/>
    </row>
    <row r="88" ht="15" customHeight="1">
      <c r="A88" t="inlineStr">
        <is>
          <t>A 28354-2022</t>
        </is>
      </c>
      <c r="B88" t="inlineStr">
        <is>
          <t>avverkningsanmälan</t>
        </is>
      </c>
      <c r="C88" t="inlineStr">
        <is>
          <t>Avverkning för annat ändamål</t>
        </is>
      </c>
      <c r="D88" s="1" t="n">
        <v>44735</v>
      </c>
      <c r="E88" s="1" t="n">
        <v>46227</v>
      </c>
      <c r="F88" t="inlineStr">
        <is>
          <t>NORRBOTTENS LÄN</t>
        </is>
      </c>
      <c r="G88" t="inlineStr">
        <is>
          <t>ARJEPLOG</t>
        </is>
      </c>
      <c r="H88" t="inlineStr">
        <is>
          <t>Övriga statliga verk och myndigheter</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61729-2024</t>
        </is>
      </c>
      <c r="B89" t="inlineStr">
        <is>
          <t>avverkningsanmälan</t>
        </is>
      </c>
      <c r="C89" t="inlineStr">
        <is>
          <t>Avverkning för annat ändamål</t>
        </is>
      </c>
      <c r="D89" s="1" t="n">
        <v>45649</v>
      </c>
      <c r="E89" s="1" t="n">
        <v>46227</v>
      </c>
      <c r="F89" t="inlineStr">
        <is>
          <t>NORRBOTTENS LÄN</t>
        </is>
      </c>
      <c r="G89" t="inlineStr">
        <is>
          <t>ARJEPLOG</t>
        </is>
      </c>
      <c r="H89" t="inlineStr">
        <is>
          <t>Övriga statliga verk och myndigheter</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48987-2025</t>
        </is>
      </c>
      <c r="B90" t="inlineStr">
        <is>
          <t>avverkningsanmälan</t>
        </is>
      </c>
      <c r="C90" t="inlineStr">
        <is>
          <t>Avverkning för annat ändamål</t>
        </is>
      </c>
      <c r="D90" s="1" t="n">
        <v>45937</v>
      </c>
      <c r="E90" s="1" t="n">
        <v>46227</v>
      </c>
      <c r="F90" t="inlineStr">
        <is>
          <t>NORRBOTTENS LÄN</t>
        </is>
      </c>
      <c r="G90" t="inlineStr">
        <is>
          <t>ARJEPLOG</t>
        </is>
      </c>
      <c r="H90" t="inlineStr">
        <is>
          <t>Sveaskog</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45072-2023</t>
        </is>
      </c>
      <c r="B91" t="inlineStr">
        <is>
          <t>avverkningsanmälan</t>
        </is>
      </c>
      <c r="C91" t="inlineStr">
        <is>
          <t>Föryngringsavverkning</t>
        </is>
      </c>
      <c r="D91" s="1" t="n">
        <v>45187</v>
      </c>
      <c r="E91" s="1" t="n">
        <v>46227</v>
      </c>
      <c r="F91" t="inlineStr">
        <is>
          <t>NORRBOTTENS LÄN</t>
        </is>
      </c>
      <c r="G91" t="inlineStr">
        <is>
          <t>ARJEPLOG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12447-2025</t>
        </is>
      </c>
      <c r="B92" t="inlineStr">
        <is>
          <t>avverkningsanmälan</t>
        </is>
      </c>
      <c r="C92" t="inlineStr">
        <is>
          <t>Föryngringsavverkning</t>
        </is>
      </c>
      <c r="D92" s="1" t="n">
        <v>45730</v>
      </c>
      <c r="E92" s="1" t="n">
        <v>46227</v>
      </c>
      <c r="F92" t="inlineStr">
        <is>
          <t>NORRBOTTENS LÄN</t>
        </is>
      </c>
      <c r="G92" t="inlineStr">
        <is>
          <t>ARJEPLOG</t>
        </is>
      </c>
      <c r="I92" t="n">
        <v>7.9</v>
      </c>
      <c r="J92" t="n">
        <v>0</v>
      </c>
      <c r="K92" t="n">
        <v>0</v>
      </c>
      <c r="L92" t="n">
        <v>0</v>
      </c>
      <c r="M92" t="n">
        <v>0</v>
      </c>
      <c r="N92" t="n">
        <v>0</v>
      </c>
      <c r="O92" t="n">
        <v>0</v>
      </c>
      <c r="P92" t="n">
        <v>0</v>
      </c>
      <c r="Q92" t="n">
        <v>0</v>
      </c>
      <c r="R92" t="n">
        <v>0</v>
      </c>
      <c r="S92" t="n">
        <v>0</v>
      </c>
      <c r="T92" t="n">
        <v>0</v>
      </c>
      <c r="U92" t="n">
        <v>0</v>
      </c>
      <c r="V92" s="2" t="inlineStr"/>
    </row>
    <row r="93" ht="15" customHeight="1">
      <c r="A93" t="inlineStr">
        <is>
          <t>A 52581-2022</t>
        </is>
      </c>
      <c r="B93" t="inlineStr">
        <is>
          <t>avverkningsanmälan</t>
        </is>
      </c>
      <c r="C93" t="inlineStr">
        <is>
          <t>Föryngringsavverkning</t>
        </is>
      </c>
      <c r="D93" s="1" t="n">
        <v>44874</v>
      </c>
      <c r="E93" s="1" t="n">
        <v>46227</v>
      </c>
      <c r="F93" t="inlineStr">
        <is>
          <t>NORRBOTTENS LÄN</t>
        </is>
      </c>
      <c r="G93" t="inlineStr">
        <is>
          <t>ARJEPLOG</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25239-2023</t>
        </is>
      </c>
      <c r="B94" t="inlineStr">
        <is>
          <t>avverkningsanmälan</t>
        </is>
      </c>
      <c r="C94" t="inlineStr">
        <is>
          <t>Föryngringsavverkning</t>
        </is>
      </c>
      <c r="D94" s="1" t="n">
        <v>45079</v>
      </c>
      <c r="E94" s="1" t="n">
        <v>46227</v>
      </c>
      <c r="F94" t="inlineStr">
        <is>
          <t>NORRBOTTENS LÄN</t>
        </is>
      </c>
      <c r="G94" t="inlineStr">
        <is>
          <t>ARJEPLOG</t>
        </is>
      </c>
      <c r="H94" t="inlineStr">
        <is>
          <t>Övriga statliga verk och myndigheter</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54589-2021</t>
        </is>
      </c>
      <c r="B95" t="inlineStr">
        <is>
          <t>avverkningsanmälan</t>
        </is>
      </c>
      <c r="C95" t="inlineStr">
        <is>
          <t>Föryngringsavverkning</t>
        </is>
      </c>
      <c r="D95" s="1" t="n">
        <v>44473</v>
      </c>
      <c r="E95" s="1" t="n">
        <v>46227</v>
      </c>
      <c r="F95" t="inlineStr">
        <is>
          <t>NORRBOTTENS LÄN</t>
        </is>
      </c>
      <c r="G95" t="inlineStr">
        <is>
          <t>ARJEPLOG</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58989-2024</t>
        </is>
      </c>
      <c r="B96" t="inlineStr">
        <is>
          <t>avverkningsanmälan</t>
        </is>
      </c>
      <c r="C96" t="inlineStr">
        <is>
          <t>Avverkning för annat ändamål</t>
        </is>
      </c>
      <c r="D96" s="1" t="n">
        <v>45636</v>
      </c>
      <c r="E96" s="1" t="n">
        <v>46227</v>
      </c>
      <c r="F96" t="inlineStr">
        <is>
          <t>NORRBOTTENS LÄN</t>
        </is>
      </c>
      <c r="G96" t="inlineStr">
        <is>
          <t>ARJEPLOG</t>
        </is>
      </c>
      <c r="H96" t="inlineStr">
        <is>
          <t>Sveaskog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25270-2023</t>
        </is>
      </c>
      <c r="B97" t="inlineStr">
        <is>
          <t>avverkningsanmälan</t>
        </is>
      </c>
      <c r="C97" t="inlineStr">
        <is>
          <t>Föryngringsavverkning</t>
        </is>
      </c>
      <c r="D97" s="1" t="n">
        <v>45079</v>
      </c>
      <c r="E97" s="1" t="n">
        <v>46227</v>
      </c>
      <c r="F97" t="inlineStr">
        <is>
          <t>NORRBOTTENS LÄN</t>
        </is>
      </c>
      <c r="G97" t="inlineStr">
        <is>
          <t>ARJEPLOG</t>
        </is>
      </c>
      <c r="H97" t="inlineStr">
        <is>
          <t>Övriga statliga verk och myndigheter</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3006-2024</t>
        </is>
      </c>
      <c r="B98" t="inlineStr">
        <is>
          <t>avverkningsanmälan</t>
        </is>
      </c>
      <c r="C98" t="inlineStr">
        <is>
          <t>Föryngringsavverkning</t>
        </is>
      </c>
      <c r="D98" s="1" t="n">
        <v>45315</v>
      </c>
      <c r="E98" s="1" t="n">
        <v>46227</v>
      </c>
      <c r="F98" t="inlineStr">
        <is>
          <t>NORRBOTTENS LÄN</t>
        </is>
      </c>
      <c r="G98" t="inlineStr">
        <is>
          <t>ARJEPLOG</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25440-2024</t>
        </is>
      </c>
      <c r="B99" t="inlineStr">
        <is>
          <t>avverkningsanmälan</t>
        </is>
      </c>
      <c r="C99" t="inlineStr">
        <is>
          <t>Föryngringsavverkning</t>
        </is>
      </c>
      <c r="D99" s="1" t="n">
        <v>45463</v>
      </c>
      <c r="E99" s="1" t="n">
        <v>46227</v>
      </c>
      <c r="F99" t="inlineStr">
        <is>
          <t>NORRBOTTENS LÄN</t>
        </is>
      </c>
      <c r="G99" t="inlineStr">
        <is>
          <t>ARJEPLOG</t>
        </is>
      </c>
      <c r="H99" t="inlineStr">
        <is>
          <t>Allmännings- och besparingsskogar</t>
        </is>
      </c>
      <c r="I99" t="n">
        <v>30.7</v>
      </c>
      <c r="J99" t="n">
        <v>0</v>
      </c>
      <c r="K99" t="n">
        <v>0</v>
      </c>
      <c r="L99" t="n">
        <v>0</v>
      </c>
      <c r="M99" t="n">
        <v>0</v>
      </c>
      <c r="N99" t="n">
        <v>0</v>
      </c>
      <c r="O99" t="n">
        <v>0</v>
      </c>
      <c r="P99" t="n">
        <v>0</v>
      </c>
      <c r="Q99" t="n">
        <v>0</v>
      </c>
      <c r="R99" t="n">
        <v>0</v>
      </c>
      <c r="S99" t="n">
        <v>0</v>
      </c>
      <c r="T99" t="n">
        <v>0</v>
      </c>
      <c r="U99" t="n">
        <v>0</v>
      </c>
      <c r="V99" s="2" t="inlineStr"/>
    </row>
    <row r="100" ht="15" customHeight="1">
      <c r="A100" t="inlineStr">
        <is>
          <t>A 14861-2026</t>
        </is>
      </c>
      <c r="B100" t="inlineStr">
        <is>
          <t>avverkningsanmälan</t>
        </is>
      </c>
      <c r="C100" t="inlineStr">
        <is>
          <t>Föryngringsavverkning</t>
        </is>
      </c>
      <c r="D100" s="1" t="n">
        <v>46104</v>
      </c>
      <c r="E100" s="1" t="n">
        <v>46227</v>
      </c>
      <c r="F100" t="inlineStr">
        <is>
          <t>NORRBOTTENS LÄN</t>
        </is>
      </c>
      <c r="G100" t="inlineStr">
        <is>
          <t>ARJEPLOG</t>
        </is>
      </c>
      <c r="H100" t="inlineStr">
        <is>
          <t>Sveaskog</t>
        </is>
      </c>
      <c r="I100" t="n">
        <v>31.7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56754-2024</t>
        </is>
      </c>
      <c r="B101" t="inlineStr">
        <is>
          <t>avverkningsanmälan</t>
        </is>
      </c>
      <c r="C101" t="inlineStr">
        <is>
          <t>Föryngringsavverkning</t>
        </is>
      </c>
      <c r="D101" s="1" t="n">
        <v>45625</v>
      </c>
      <c r="E101" s="1" t="n">
        <v>46227</v>
      </c>
      <c r="F101" t="inlineStr">
        <is>
          <t>NORRBOTTENS LÄN</t>
        </is>
      </c>
      <c r="G101" t="inlineStr">
        <is>
          <t>ARJEPLOG</t>
        </is>
      </c>
      <c r="I101" t="n">
        <v>11.5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56800-2024</t>
        </is>
      </c>
      <c r="B102" t="inlineStr">
        <is>
          <t>avverkningsanmälan</t>
        </is>
      </c>
      <c r="C102" t="inlineStr">
        <is>
          <t>Föryngringsavverkning</t>
        </is>
      </c>
      <c r="D102" s="1" t="n">
        <v>45625</v>
      </c>
      <c r="E102" s="1" t="n">
        <v>46227</v>
      </c>
      <c r="F102" t="inlineStr">
        <is>
          <t>NORRBOTTENS LÄN</t>
        </is>
      </c>
      <c r="G102" t="inlineStr">
        <is>
          <t>ARJEPLOG</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26486-2024</t>
        </is>
      </c>
      <c r="B103" t="inlineStr">
        <is>
          <t>avverkningsanmälan</t>
        </is>
      </c>
      <c r="C103" t="inlineStr">
        <is>
          <t>Föryngringsavverkning</t>
        </is>
      </c>
      <c r="D103" s="1" t="n">
        <v>45469</v>
      </c>
      <c r="E103" s="1" t="n">
        <v>46227</v>
      </c>
      <c r="F103" t="inlineStr">
        <is>
          <t>NORRBOTTENS LÄN</t>
        </is>
      </c>
      <c r="G103" t="inlineStr">
        <is>
          <t>ARJEPLOG</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20322-2026</t>
        </is>
      </c>
      <c r="B104" t="inlineStr">
        <is>
          <t>avverkningsanmälan</t>
        </is>
      </c>
      <c r="C104" t="inlineStr">
        <is>
          <t>Föryngringsavverkning</t>
        </is>
      </c>
      <c r="D104" s="1" t="n">
        <v>46139</v>
      </c>
      <c r="E104" s="1" t="n">
        <v>46227</v>
      </c>
      <c r="F104" t="inlineStr">
        <is>
          <t>NORRBOTTENS LÄN</t>
        </is>
      </c>
      <c r="G104" t="inlineStr">
        <is>
          <t>ARJEPLOG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20319-2026</t>
        </is>
      </c>
      <c r="B105" t="inlineStr">
        <is>
          <t>avverkningsanmälan</t>
        </is>
      </c>
      <c r="C105" t="inlineStr">
        <is>
          <t>Föryngringsavverkning</t>
        </is>
      </c>
      <c r="D105" s="1" t="n">
        <v>46139</v>
      </c>
      <c r="E105" s="1" t="n">
        <v>46227</v>
      </c>
      <c r="F105" t="inlineStr">
        <is>
          <t>NORRBOTTENS LÄN</t>
        </is>
      </c>
      <c r="G105" t="inlineStr">
        <is>
          <t>ARJEPLOG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20326-2026</t>
        </is>
      </c>
      <c r="B106" t="inlineStr">
        <is>
          <t>avverkningsanmälan</t>
        </is>
      </c>
      <c r="C106" t="inlineStr">
        <is>
          <t>Föryngringsavverkning</t>
        </is>
      </c>
      <c r="D106" s="1" t="n">
        <v>46139</v>
      </c>
      <c r="E106" s="1" t="n">
        <v>46227</v>
      </c>
      <c r="F106" t="inlineStr">
        <is>
          <t>NORRBOTTENS LÄN</t>
        </is>
      </c>
      <c r="G106" t="inlineStr">
        <is>
          <t>ARJEPLOG</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26472-2024</t>
        </is>
      </c>
      <c r="B107" t="inlineStr">
        <is>
          <t>avverkningsanmälan</t>
        </is>
      </c>
      <c r="C107" t="inlineStr">
        <is>
          <t>Föryngringsavverkning</t>
        </is>
      </c>
      <c r="D107" s="1" t="n">
        <v>45469</v>
      </c>
      <c r="E107" s="1" t="n">
        <v>46227</v>
      </c>
      <c r="F107" t="inlineStr">
        <is>
          <t>NORRBOTTENS LÄN</t>
        </is>
      </c>
      <c r="G107" t="inlineStr">
        <is>
          <t>ARJEPLOG</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56782-2024</t>
        </is>
      </c>
      <c r="B108" t="inlineStr">
        <is>
          <t>avverkningsanmälan</t>
        </is>
      </c>
      <c r="C108" t="inlineStr">
        <is>
          <t>Föryngringsavverkning</t>
        </is>
      </c>
      <c r="D108" s="1" t="n">
        <v>45625</v>
      </c>
      <c r="E108" s="1" t="n">
        <v>46227</v>
      </c>
      <c r="F108" t="inlineStr">
        <is>
          <t>NORRBOTTENS LÄN</t>
        </is>
      </c>
      <c r="G108" t="inlineStr">
        <is>
          <t>ARJEPLOG</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56794-2024</t>
        </is>
      </c>
      <c r="B109" t="inlineStr">
        <is>
          <t>avverkningsanmälan</t>
        </is>
      </c>
      <c r="C109" t="inlineStr">
        <is>
          <t>Föryngringsavverkning</t>
        </is>
      </c>
      <c r="D109" s="1" t="n">
        <v>45625</v>
      </c>
      <c r="E109" s="1" t="n">
        <v>46227</v>
      </c>
      <c r="F109" t="inlineStr">
        <is>
          <t>NORRBOTTENS LÄN</t>
        </is>
      </c>
      <c r="G109" t="inlineStr">
        <is>
          <t>ARJEPLOG</t>
        </is>
      </c>
      <c r="I109" t="n">
        <v>7.5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12409-2025</t>
        </is>
      </c>
      <c r="B110" t="inlineStr">
        <is>
          <t>avverkningsanmälan</t>
        </is>
      </c>
      <c r="C110" t="inlineStr">
        <is>
          <t>Föryngringsavverkning</t>
        </is>
      </c>
      <c r="D110" s="1" t="n">
        <v>45730</v>
      </c>
      <c r="E110" s="1" t="n">
        <v>46227</v>
      </c>
      <c r="F110" t="inlineStr">
        <is>
          <t>NORRBOTTENS LÄN</t>
        </is>
      </c>
      <c r="G110" t="inlineStr">
        <is>
          <t>ARJEPLOG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26811-2022</t>
        </is>
      </c>
      <c r="B111" t="inlineStr">
        <is>
          <t>avverkningsanmälan</t>
        </is>
      </c>
      <c r="C111" t="inlineStr">
        <is>
          <t>Avverkning för annat ändamål</t>
        </is>
      </c>
      <c r="D111" s="1" t="n">
        <v>44735</v>
      </c>
      <c r="E111" s="1" t="n">
        <v>46227</v>
      </c>
      <c r="F111" t="inlineStr">
        <is>
          <t>NORRBOTTENS LÄN</t>
        </is>
      </c>
      <c r="G111" t="inlineStr">
        <is>
          <t>ARJEPLOG</t>
        </is>
      </c>
      <c r="H111" t="inlineStr">
        <is>
          <t>Övriga statliga verk och myndigheter</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27102-2026</t>
        </is>
      </c>
      <c r="B112" t="inlineStr">
        <is>
          <t>avverkningsanmälan</t>
        </is>
      </c>
      <c r="C112" t="inlineStr">
        <is>
          <t>Avverkning för annat ändamål</t>
        </is>
      </c>
      <c r="D112" s="1" t="n">
        <v>46188</v>
      </c>
      <c r="E112" s="1" t="n">
        <v>46227</v>
      </c>
      <c r="F112" t="inlineStr">
        <is>
          <t>NORRBOTTENS LÄN</t>
        </is>
      </c>
      <c r="G112" t="inlineStr">
        <is>
          <t>ARJEPLOG</t>
        </is>
      </c>
      <c r="H112" t="inlineStr">
        <is>
          <t>Sveaskog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27092-2022</t>
        </is>
      </c>
      <c r="B113" t="inlineStr">
        <is>
          <t>avverkningsanmälan</t>
        </is>
      </c>
      <c r="C113" t="inlineStr">
        <is>
          <t>Föryngringsavverkning</t>
        </is>
      </c>
      <c r="D113" s="1" t="n">
        <v>44741</v>
      </c>
      <c r="E113" s="1" t="n">
        <v>46227</v>
      </c>
      <c r="F113" t="inlineStr">
        <is>
          <t>NORRBOTTENS LÄN</t>
        </is>
      </c>
      <c r="G113" t="inlineStr">
        <is>
          <t>ARJEPLOG</t>
        </is>
      </c>
      <c r="I113" t="n">
        <v>15.6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44218-2023</t>
        </is>
      </c>
      <c r="B114" t="inlineStr">
        <is>
          <t>avverkningsanmälan</t>
        </is>
      </c>
      <c r="C114" t="inlineStr">
        <is>
          <t>Avverkning för annat ändamål</t>
        </is>
      </c>
      <c r="D114" s="1" t="n">
        <v>45183</v>
      </c>
      <c r="E114" s="1" t="n">
        <v>46227</v>
      </c>
      <c r="F114" t="inlineStr">
        <is>
          <t>NORRBOTTENS LÄN</t>
        </is>
      </c>
      <c r="G114" t="inlineStr">
        <is>
          <t>ARJEPLOG</t>
        </is>
      </c>
      <c r="H114" t="inlineStr">
        <is>
          <t>Allmännings- och besparingsskogar</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27836-2026</t>
        </is>
      </c>
      <c r="B115" t="inlineStr">
        <is>
          <t>avverkningsanmälan</t>
        </is>
      </c>
      <c r="C115" t="inlineStr">
        <is>
          <t>Avverkning för annat ändamål</t>
        </is>
      </c>
      <c r="D115" s="1" t="n">
        <v>46189</v>
      </c>
      <c r="E115" s="1" t="n">
        <v>46227</v>
      </c>
      <c r="F115" t="inlineStr">
        <is>
          <t>NORRBOTTENS LÄN</t>
        </is>
      </c>
      <c r="G115" t="inlineStr">
        <is>
          <t>ARJEPLOG</t>
        </is>
      </c>
      <c r="H115" t="inlineStr">
        <is>
          <t>Sveaskog</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64840-2023</t>
        </is>
      </c>
      <c r="B116" t="inlineStr">
        <is>
          <t>avverkningsanmälan</t>
        </is>
      </c>
      <c r="C116" t="inlineStr">
        <is>
          <t>Föryngringsavverkning</t>
        </is>
      </c>
      <c r="D116" s="1" t="n">
        <v>45281</v>
      </c>
      <c r="E116" s="1" t="n">
        <v>46227</v>
      </c>
      <c r="F116" t="inlineStr">
        <is>
          <t>NORRBOTTENS LÄN</t>
        </is>
      </c>
      <c r="G116" t="inlineStr">
        <is>
          <t>ARJEPLOG</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28804-2026</t>
        </is>
      </c>
      <c r="B117" t="inlineStr">
        <is>
          <t>avverkningsanmälan</t>
        </is>
      </c>
      <c r="C117" t="inlineStr">
        <is>
          <t>Föryngringsavverkning</t>
        </is>
      </c>
      <c r="D117" s="1" t="n">
        <v>46198</v>
      </c>
      <c r="E117" s="1" t="n">
        <v>46227</v>
      </c>
      <c r="F117" t="inlineStr">
        <is>
          <t>NORRBOTTENS LÄN</t>
        </is>
      </c>
      <c r="G117" t="inlineStr">
        <is>
          <t>ARJEPLOG</t>
        </is>
      </c>
      <c r="H117" t="inlineStr">
        <is>
          <t>Allmännings- och besparingsskogar</t>
        </is>
      </c>
      <c r="I117" t="n">
        <v>11.5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28799-2026</t>
        </is>
      </c>
      <c r="B118" t="inlineStr">
        <is>
          <t>avverkningsanmälan</t>
        </is>
      </c>
      <c r="C118" t="inlineStr">
        <is>
          <t>Föryngringsavverkning</t>
        </is>
      </c>
      <c r="D118" s="1" t="n">
        <v>46198</v>
      </c>
      <c r="E118" s="1" t="n">
        <v>46227</v>
      </c>
      <c r="F118" t="inlineStr">
        <is>
          <t>NORRBOTTENS LÄN</t>
        </is>
      </c>
      <c r="G118" t="inlineStr">
        <is>
          <t>ARJEPLOG</t>
        </is>
      </c>
      <c r="H118" t="inlineStr">
        <is>
          <t>Allmännings- och besparingsskogar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28560-2026</t>
        </is>
      </c>
      <c r="B119" t="inlineStr">
        <is>
          <t>avverkningsanmälan</t>
        </is>
      </c>
      <c r="C119" t="inlineStr">
        <is>
          <t>Föryngringsavverkning</t>
        </is>
      </c>
      <c r="D119" s="1" t="n">
        <v>46197</v>
      </c>
      <c r="E119" s="1" t="n">
        <v>46227</v>
      </c>
      <c r="F119" t="inlineStr">
        <is>
          <t>NORRBOTTENS LÄN</t>
        </is>
      </c>
      <c r="G119" t="inlineStr">
        <is>
          <t>ARJEPLOG</t>
        </is>
      </c>
      <c r="H119" t="inlineStr">
        <is>
          <t>Allmännings- och besparingsskogar</t>
        </is>
      </c>
      <c r="I119" t="n">
        <v>14.2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64816-2023</t>
        </is>
      </c>
      <c r="B120" t="inlineStr">
        <is>
          <t>avverkningsanmälan</t>
        </is>
      </c>
      <c r="C120" t="inlineStr">
        <is>
          <t>Föryngringsavverkning</t>
        </is>
      </c>
      <c r="D120" s="1" t="n">
        <v>45281</v>
      </c>
      <c r="E120" s="1" t="n">
        <v>46227</v>
      </c>
      <c r="F120" t="inlineStr">
        <is>
          <t>NORRBOTTENS LÄN</t>
        </is>
      </c>
      <c r="G120" t="inlineStr">
        <is>
          <t>ARJEPLOG</t>
        </is>
      </c>
      <c r="I120" t="n">
        <v>13.4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23335-2026</t>
        </is>
      </c>
      <c r="B121" t="inlineStr">
        <is>
          <t>avverkningsanmälan</t>
        </is>
      </c>
      <c r="C121" t="inlineStr">
        <is>
          <t>Föryngringsavverkning</t>
        </is>
      </c>
      <c r="D121" s="1" t="n">
        <v>46162</v>
      </c>
      <c r="E121" s="1" t="n">
        <v>46227</v>
      </c>
      <c r="F121" t="inlineStr">
        <is>
          <t>NORRBOTTENS LÄN</t>
        </is>
      </c>
      <c r="G121" t="inlineStr">
        <is>
          <t>ARJEPLOG</t>
        </is>
      </c>
      <c r="I121" t="n">
        <v>7.7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29674-2025</t>
        </is>
      </c>
      <c r="B122" t="inlineStr">
        <is>
          <t>avverkningsanmälan</t>
        </is>
      </c>
      <c r="C122" t="inlineStr">
        <is>
          <t>Föryngringsavverkning</t>
        </is>
      </c>
      <c r="D122" s="1" t="n">
        <v>45825</v>
      </c>
      <c r="E122" s="1" t="n">
        <v>46227</v>
      </c>
      <c r="F122" t="inlineStr">
        <is>
          <t>NORRBOTTENS LÄN</t>
        </is>
      </c>
      <c r="G122" t="inlineStr">
        <is>
          <t>ARJEPLOG</t>
        </is>
      </c>
      <c r="H122" t="inlineStr">
        <is>
          <t>Allmännings- och besparingsskogar</t>
        </is>
      </c>
      <c r="I122" t="n">
        <v>25.1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23330-2026</t>
        </is>
      </c>
      <c r="B123" t="inlineStr">
        <is>
          <t>avverkningsanmälan</t>
        </is>
      </c>
      <c r="C123" t="inlineStr">
        <is>
          <t>Föryngringsavverkning</t>
        </is>
      </c>
      <c r="D123" s="1" t="n">
        <v>46162</v>
      </c>
      <c r="E123" s="1" t="n">
        <v>46227</v>
      </c>
      <c r="F123" t="inlineStr">
        <is>
          <t>NORRBOTTENS LÄN</t>
        </is>
      </c>
      <c r="G123" t="inlineStr">
        <is>
          <t>ARJEPLOG</t>
        </is>
      </c>
      <c r="I123" t="n">
        <v>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46910-2024</t>
        </is>
      </c>
      <c r="B124" t="inlineStr">
        <is>
          <t>avverkningsanmälan</t>
        </is>
      </c>
      <c r="C124" t="inlineStr">
        <is>
          <t>Föryngringsavverkning</t>
        </is>
      </c>
      <c r="D124" s="1" t="n">
        <v>45583</v>
      </c>
      <c r="E124" s="1" t="n">
        <v>46227</v>
      </c>
      <c r="F124" t="inlineStr">
        <is>
          <t>NORRBOTTENS LÄN</t>
        </is>
      </c>
      <c r="G124" t="inlineStr">
        <is>
          <t>ARJEPLOG</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58370-2023</t>
        </is>
      </c>
      <c r="B125" t="inlineStr">
        <is>
          <t>avverkningsanmälan</t>
        </is>
      </c>
      <c r="C125" t="inlineStr">
        <is>
          <t>Avverkning för att bevara och utveckla /försöksver</t>
        </is>
      </c>
      <c r="D125" s="1" t="n">
        <v>45250</v>
      </c>
      <c r="E125" s="1" t="n">
        <v>46227</v>
      </c>
      <c r="F125" t="inlineStr">
        <is>
          <t>NORRBOTTENS LÄN</t>
        </is>
      </c>
      <c r="G125" t="inlineStr">
        <is>
          <t>ARJEPLOG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28679-2026</t>
        </is>
      </c>
      <c r="B126" t="inlineStr">
        <is>
          <t>avverkningsanmälan</t>
        </is>
      </c>
      <c r="C126" t="inlineStr">
        <is>
          <t>Föryngringsavverkning</t>
        </is>
      </c>
      <c r="D126" s="1" t="n">
        <v>46198</v>
      </c>
      <c r="E126" s="1" t="n">
        <v>46227</v>
      </c>
      <c r="F126" t="inlineStr">
        <is>
          <t>NORRBOTTENS LÄN</t>
        </is>
      </c>
      <c r="G126" t="inlineStr">
        <is>
          <t>ARJEPLOG</t>
        </is>
      </c>
      <c r="H126" t="inlineStr">
        <is>
          <t>Allmännings- och besparingsskogar</t>
        </is>
      </c>
      <c r="I126" t="n">
        <v>17.2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28787-2026</t>
        </is>
      </c>
      <c r="B127" t="inlineStr">
        <is>
          <t>avverkningsanmälan</t>
        </is>
      </c>
      <c r="C127" t="inlineStr">
        <is>
          <t>Föryngringsavverkning</t>
        </is>
      </c>
      <c r="D127" s="1" t="n">
        <v>46198</v>
      </c>
      <c r="E127" s="1" t="n">
        <v>46227</v>
      </c>
      <c r="F127" t="inlineStr">
        <is>
          <t>NORRBOTTENS LÄN</t>
        </is>
      </c>
      <c r="G127" t="inlineStr">
        <is>
          <t>ARJEPLOG</t>
        </is>
      </c>
      <c r="H127" t="inlineStr">
        <is>
          <t>Allmännings- och besparingsskogar</t>
        </is>
      </c>
      <c r="I127" t="n">
        <v>13.3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28532-2026</t>
        </is>
      </c>
      <c r="B128" t="inlineStr">
        <is>
          <t>avverkningsanmälan</t>
        </is>
      </c>
      <c r="C128" t="inlineStr">
        <is>
          <t>Avverkning för annat ändamål</t>
        </is>
      </c>
      <c r="D128" s="1" t="n">
        <v>46197</v>
      </c>
      <c r="E128" s="1" t="n">
        <v>46227</v>
      </c>
      <c r="F128" t="inlineStr">
        <is>
          <t>NORRBOTTENS LÄN</t>
        </is>
      </c>
      <c r="G128" t="inlineStr">
        <is>
          <t>ARJEPLOG</t>
        </is>
      </c>
      <c r="H128" t="inlineStr">
        <is>
          <t>Allmännings- och besparingsskogar</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28551-2026</t>
        </is>
      </c>
      <c r="B129" t="inlineStr">
        <is>
          <t>avverkningsanmälan</t>
        </is>
      </c>
      <c r="C129" t="inlineStr">
        <is>
          <t>Föryngringsavverkning</t>
        </is>
      </c>
      <c r="D129" s="1" t="n">
        <v>46197</v>
      </c>
      <c r="E129" s="1" t="n">
        <v>46227</v>
      </c>
      <c r="F129" t="inlineStr">
        <is>
          <t>NORRBOTTENS LÄN</t>
        </is>
      </c>
      <c r="G129" t="inlineStr">
        <is>
          <t>ARJEPLOG</t>
        </is>
      </c>
      <c r="H129" t="inlineStr">
        <is>
          <t>Allmännings- och besparingsskogar</t>
        </is>
      </c>
      <c r="I129" t="n">
        <v>22.9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26479-2024</t>
        </is>
      </c>
      <c r="B130" t="inlineStr">
        <is>
          <t>avverkningsanmälan</t>
        </is>
      </c>
      <c r="C130" t="inlineStr">
        <is>
          <t>Föryngringsavverkning</t>
        </is>
      </c>
      <c r="D130" s="1" t="n">
        <v>45468</v>
      </c>
      <c r="E130" s="1" t="n">
        <v>46227</v>
      </c>
      <c r="F130" t="inlineStr">
        <is>
          <t>NORRBOTTENS LÄN</t>
        </is>
      </c>
      <c r="G130" t="inlineStr">
        <is>
          <t>ARJEPLOG</t>
        </is>
      </c>
      <c r="I130" t="n">
        <v>6.9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53822-2024</t>
        </is>
      </c>
      <c r="B131" t="inlineStr">
        <is>
          <t>avverkningsanmälan</t>
        </is>
      </c>
      <c r="C131" t="inlineStr">
        <is>
          <t>Föryngringsavverkning</t>
        </is>
      </c>
      <c r="D131" s="1" t="n">
        <v>45614</v>
      </c>
      <c r="E131" s="1" t="n">
        <v>46227</v>
      </c>
      <c r="F131" t="inlineStr">
        <is>
          <t>NORRBOTTENS LÄN</t>
        </is>
      </c>
      <c r="G131" t="inlineStr">
        <is>
          <t>ARJEPLOG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26048-2026</t>
        </is>
      </c>
      <c r="B132" t="inlineStr">
        <is>
          <t>avverkningsanmälan</t>
        </is>
      </c>
      <c r="C132" t="inlineStr">
        <is>
          <t>Föryngringsavverkning</t>
        </is>
      </c>
      <c r="D132" s="1" t="n">
        <v>46181</v>
      </c>
      <c r="E132" s="1" t="n">
        <v>46227</v>
      </c>
      <c r="F132" t="inlineStr">
        <is>
          <t>NORRBOTTENS LÄN</t>
        </is>
      </c>
      <c r="G132" t="inlineStr">
        <is>
          <t>ARJEPLOG</t>
        </is>
      </c>
      <c r="I132" t="n">
        <v>16.9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55266-2024</t>
        </is>
      </c>
      <c r="B133" t="inlineStr">
        <is>
          <t>avverkningsanmälan</t>
        </is>
      </c>
      <c r="C133" t="inlineStr">
        <is>
          <t>Föryngringsavverkning</t>
        </is>
      </c>
      <c r="D133" s="1" t="n">
        <v>45621</v>
      </c>
      <c r="E133" s="1" t="n">
        <v>46227</v>
      </c>
      <c r="F133" t="inlineStr">
        <is>
          <t>NORRBOTTENS LÄN</t>
        </is>
      </c>
      <c r="G133" t="inlineStr">
        <is>
          <t>ARJEPLOG</t>
        </is>
      </c>
      <c r="I133" t="n">
        <v>11.3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20789-2022</t>
        </is>
      </c>
      <c r="B134" t="inlineStr">
        <is>
          <t>avverkningsanmälan</t>
        </is>
      </c>
      <c r="C134" t="inlineStr">
        <is>
          <t>Föryngringsavverkning</t>
        </is>
      </c>
      <c r="D134" s="1" t="n">
        <v>44701</v>
      </c>
      <c r="E134" s="1" t="n">
        <v>46227</v>
      </c>
      <c r="F134" t="inlineStr">
        <is>
          <t>NORRBOTTENS LÄN</t>
        </is>
      </c>
      <c r="G134" t="inlineStr">
        <is>
          <t>ARJEPLOG</t>
        </is>
      </c>
      <c r="I134" t="n">
        <v>20.3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26773-2022</t>
        </is>
      </c>
      <c r="B135" t="inlineStr">
        <is>
          <t>avverkningsanmälan</t>
        </is>
      </c>
      <c r="C135" t="inlineStr">
        <is>
          <t>Föryngringsavverkning</t>
        </is>
      </c>
      <c r="D135" s="1" t="n">
        <v>44732</v>
      </c>
      <c r="E135" s="1" t="n">
        <v>46227</v>
      </c>
      <c r="F135" t="inlineStr">
        <is>
          <t>NORRBOTTENS LÄN</t>
        </is>
      </c>
      <c r="G135" t="inlineStr">
        <is>
          <t>ARJEPLOG</t>
        </is>
      </c>
      <c r="H135" t="inlineStr">
        <is>
          <t>Övriga statliga verk och myndigheter</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42274-2022</t>
        </is>
      </c>
      <c r="B136" t="inlineStr">
        <is>
          <t>avverkningsanmälan</t>
        </is>
      </c>
      <c r="C136" t="inlineStr">
        <is>
          <t>Föryngringsavverkning</t>
        </is>
      </c>
      <c r="D136" s="1" t="n">
        <v>44830</v>
      </c>
      <c r="E136" s="1" t="n">
        <v>46227</v>
      </c>
      <c r="F136" t="inlineStr">
        <is>
          <t>NORRBOTTENS LÄN</t>
        </is>
      </c>
      <c r="G136" t="inlineStr">
        <is>
          <t>ARJEPLOG</t>
        </is>
      </c>
      <c r="H136" t="inlineStr">
        <is>
          <t>SCA</t>
        </is>
      </c>
      <c r="I136" t="n">
        <v>6.5</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46227</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2026-07-24T01:47:02Z</dcterms:created>
  <dcterms:modified xmlns:dcterms="http://purl.org/dc/terms/" xmlns:xsi="http://www.w3.org/2001/XMLSchema-instance" xsi:type="dcterms:W3CDTF">2026-07-24T01:47:02Z</dcterms:modified>
</cp:coreProperties>
</file>