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45907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45907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45907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45907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45907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45907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45907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2256-2025</t>
        </is>
      </c>
      <c r="B9" s="1" t="n">
        <v>45671</v>
      </c>
      <c r="C9" s="1" t="n">
        <v>45907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17.9</v>
      </c>
      <c r="H9" t="n">
        <v>7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Månlåsbräken
Nordlåsbräken
Grönkulla
Korallrot
Spindelblomster
Buskmus
Brudsporre
Fläcknycklar
Fjällummer</t>
        </is>
      </c>
      <c r="S9">
        <f>HYPERLINK("https://klasma.github.io/Logging_2506/artfynd/A 2256-2025 artfynd.xlsx", "A 2256-2025")</f>
        <v/>
      </c>
      <c r="T9">
        <f>HYPERLINK("https://klasma.github.io/Logging_2506/kartor/A 2256-2025 karta.png", "A 2256-2025")</f>
        <v/>
      </c>
      <c r="V9">
        <f>HYPERLINK("https://klasma.github.io/Logging_2506/klagomål/A 2256-2025 FSC-klagomål.docx", "A 2256-2025")</f>
        <v/>
      </c>
      <c r="W9">
        <f>HYPERLINK("https://klasma.github.io/Logging_2506/klagomålsmail/A 2256-2025 FSC-klagomål mail.docx", "A 2256-2025")</f>
        <v/>
      </c>
      <c r="X9">
        <f>HYPERLINK("https://klasma.github.io/Logging_2506/tillsyn/A 2256-2025 tillsynsbegäran.docx", "A 2256-2025")</f>
        <v/>
      </c>
      <c r="Y9">
        <f>HYPERLINK("https://klasma.github.io/Logging_2506/tillsynsmail/A 2256-2025 tillsynsbegäran mail.docx", "A 2256-2025")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45907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45907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45907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403-2024</t>
        </is>
      </c>
      <c r="B13" s="1" t="n">
        <v>45296</v>
      </c>
      <c r="C13" s="1" t="n">
        <v>45907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218.7</v>
      </c>
      <c r="H13" t="n">
        <v>1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8</v>
      </c>
      <c r="R13" s="2" t="inlineStr">
        <is>
          <t>Ostticka
Rynkskinn
Garnlav
Granticka
Harticka
Rosenticka
Tretåig hackspett
Ullticka</t>
        </is>
      </c>
      <c r="S13">
        <f>HYPERLINK("https://klasma.github.io/Logging_2506/artfynd/A 403-2024 artfynd.xlsx", "A 403-2024")</f>
        <v/>
      </c>
      <c r="T13">
        <f>HYPERLINK("https://klasma.github.io/Logging_2506/kartor/A 403-2024 karta.png", "A 403-2024")</f>
        <v/>
      </c>
      <c r="V13">
        <f>HYPERLINK("https://klasma.github.io/Logging_2506/klagomål/A 403-2024 FSC-klagomål.docx", "A 403-2024")</f>
        <v/>
      </c>
      <c r="W13">
        <f>HYPERLINK("https://klasma.github.io/Logging_2506/klagomålsmail/A 403-2024 FSC-klagomål mail.docx", "A 403-2024")</f>
        <v/>
      </c>
      <c r="X13">
        <f>HYPERLINK("https://klasma.github.io/Logging_2506/tillsyn/A 403-2024 tillsynsbegäran.docx", "A 403-2024")</f>
        <v/>
      </c>
      <c r="Y13">
        <f>HYPERLINK("https://klasma.github.io/Logging_2506/tillsynsmail/A 403-2024 tillsynsbegäran mail.docx", "A 403-2024")</f>
        <v/>
      </c>
      <c r="Z13">
        <f>HYPERLINK("https://klasma.github.io/Logging_2506/fåglar/A 403-2024 prioriterade fågelarter.docx", "A 403-2024")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45907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45907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45907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45907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45907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15171-2022</t>
        </is>
      </c>
      <c r="B19" s="1" t="n">
        <v>44658</v>
      </c>
      <c r="C19" s="1" t="n">
        <v>45907</v>
      </c>
      <c r="D19" t="inlineStr">
        <is>
          <t>NORRBOTTENS LÄN</t>
        </is>
      </c>
      <c r="E19" t="inlineStr">
        <is>
          <t>ARJEPLOG</t>
        </is>
      </c>
      <c r="G19" t="n">
        <v>48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Tretåig hackspett</t>
        </is>
      </c>
      <c r="S19">
        <f>HYPERLINK("https://klasma.github.io/Logging_2506/artfynd/A 15171-2022 artfynd.xlsx", "A 15171-2022")</f>
        <v/>
      </c>
      <c r="T19">
        <f>HYPERLINK("https://klasma.github.io/Logging_2506/kartor/A 15171-2022 karta.png", "A 15171-2022")</f>
        <v/>
      </c>
      <c r="V19">
        <f>HYPERLINK("https://klasma.github.io/Logging_2506/klagomål/A 15171-2022 FSC-klagomål.docx", "A 15171-2022")</f>
        <v/>
      </c>
      <c r="W19">
        <f>HYPERLINK("https://klasma.github.io/Logging_2506/klagomålsmail/A 15171-2022 FSC-klagomål mail.docx", "A 15171-2022")</f>
        <v/>
      </c>
      <c r="X19">
        <f>HYPERLINK("https://klasma.github.io/Logging_2506/tillsyn/A 15171-2022 tillsynsbegäran.docx", "A 15171-2022")</f>
        <v/>
      </c>
      <c r="Y19">
        <f>HYPERLINK("https://klasma.github.io/Logging_2506/tillsynsmail/A 15171-2022 tillsynsbegäran mail.docx", "A 15171-2022")</f>
        <v/>
      </c>
      <c r="Z19">
        <f>HYPERLINK("https://klasma.github.io/Logging_2506/fåglar/A 15171-2022 prioriterade fågelarter.docx", "A 15171-2022")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45907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45907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10525-2024</t>
        </is>
      </c>
      <c r="B22" s="1" t="n">
        <v>45366</v>
      </c>
      <c r="C22" s="1" t="n">
        <v>45907</v>
      </c>
      <c r="D22" t="inlineStr">
        <is>
          <t>NORRBOTTENS LÄN</t>
        </is>
      </c>
      <c r="E22" t="inlineStr">
        <is>
          <t>ARJEPLOG</t>
        </is>
      </c>
      <c r="G22" t="n">
        <v>15.5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Ögonpyrola</t>
        </is>
      </c>
      <c r="S22">
        <f>HYPERLINK("https://klasma.github.io/Logging_2506/artfynd/A 10525-2024 artfynd.xlsx", "A 10525-2024")</f>
        <v/>
      </c>
      <c r="T22">
        <f>HYPERLINK("https://klasma.github.io/Logging_2506/kartor/A 10525-2024 karta.png", "A 10525-2024")</f>
        <v/>
      </c>
      <c r="V22">
        <f>HYPERLINK("https://klasma.github.io/Logging_2506/klagomål/A 10525-2024 FSC-klagomål.docx", "A 10525-2024")</f>
        <v/>
      </c>
      <c r="W22">
        <f>HYPERLINK("https://klasma.github.io/Logging_2506/klagomålsmail/A 10525-2024 FSC-klagomål mail.docx", "A 10525-2024")</f>
        <v/>
      </c>
      <c r="X22">
        <f>HYPERLINK("https://klasma.github.io/Logging_2506/tillsyn/A 10525-2024 tillsynsbegäran.docx", "A 10525-2024")</f>
        <v/>
      </c>
      <c r="Y22">
        <f>HYPERLINK("https://klasma.github.io/Logging_2506/tillsynsmail/A 10525-2024 tillsynsbegäran mail.docx", "A 10525-2024")</f>
        <v/>
      </c>
    </row>
    <row r="23" ht="15" customHeight="1">
      <c r="A23" t="inlineStr">
        <is>
          <t>A 14684-2021</t>
        </is>
      </c>
      <c r="B23" s="1" t="n">
        <v>44280</v>
      </c>
      <c r="C23" s="1" t="n">
        <v>45907</v>
      </c>
      <c r="D23" t="inlineStr">
        <is>
          <t>NORRBOTTENS LÄN</t>
        </is>
      </c>
      <c r="E23" t="inlineStr">
        <is>
          <t>ARJEPLOG</t>
        </is>
      </c>
      <c r="G23" t="n">
        <v>26.6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Tretåig hackspett
Ullticka</t>
        </is>
      </c>
      <c r="S23">
        <f>HYPERLINK("https://klasma.github.io/Logging_2506/artfynd/A 14684-2021 artfynd.xlsx", "A 14684-2021")</f>
        <v/>
      </c>
      <c r="T23">
        <f>HYPERLINK("https://klasma.github.io/Logging_2506/kartor/A 14684-2021 karta.png", "A 14684-2021")</f>
        <v/>
      </c>
      <c r="V23">
        <f>HYPERLINK("https://klasma.github.io/Logging_2506/klagomål/A 14684-2021 FSC-klagomål.docx", "A 14684-2021")</f>
        <v/>
      </c>
      <c r="W23">
        <f>HYPERLINK("https://klasma.github.io/Logging_2506/klagomålsmail/A 14684-2021 FSC-klagomål mail.docx", "A 14684-2021")</f>
        <v/>
      </c>
      <c r="X23">
        <f>HYPERLINK("https://klasma.github.io/Logging_2506/tillsyn/A 14684-2021 tillsynsbegäran.docx", "A 14684-2021")</f>
        <v/>
      </c>
      <c r="Y23">
        <f>HYPERLINK("https://klasma.github.io/Logging_2506/tillsynsmail/A 14684-2021 tillsynsbegäran mail.docx", "A 14684-2021")</f>
        <v/>
      </c>
      <c r="Z23">
        <f>HYPERLINK("https://klasma.github.io/Logging_2506/fåglar/A 14684-2021 prioriterade fågelarter.docx", "A 14684-2021")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45907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45907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45907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45907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45324-2022</t>
        </is>
      </c>
      <c r="B28" s="1" t="n">
        <v>44841</v>
      </c>
      <c r="C28" s="1" t="n">
        <v>45907</v>
      </c>
      <c r="D28" t="inlineStr">
        <is>
          <t>NORRBOTTENS LÄN</t>
        </is>
      </c>
      <c r="E28" t="inlineStr">
        <is>
          <t>ARJEPLOG</t>
        </is>
      </c>
      <c r="G28" t="n">
        <v>23.2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Bergand</t>
        </is>
      </c>
      <c r="S28">
        <f>HYPERLINK("https://klasma.github.io/Logging_2506/artfynd/A 45324-2022 artfynd.xlsx", "A 45324-2022")</f>
        <v/>
      </c>
      <c r="T28">
        <f>HYPERLINK("https://klasma.github.io/Logging_2506/kartor/A 45324-2022 karta.png", "A 45324-2022")</f>
        <v/>
      </c>
      <c r="V28">
        <f>HYPERLINK("https://klasma.github.io/Logging_2506/klagomål/A 45324-2022 FSC-klagomål.docx", "A 45324-2022")</f>
        <v/>
      </c>
      <c r="W28">
        <f>HYPERLINK("https://klasma.github.io/Logging_2506/klagomålsmail/A 45324-2022 FSC-klagomål mail.docx", "A 45324-2022")</f>
        <v/>
      </c>
      <c r="X28">
        <f>HYPERLINK("https://klasma.github.io/Logging_2506/tillsyn/A 45324-2022 tillsynsbegäran.docx", "A 45324-2022")</f>
        <v/>
      </c>
      <c r="Y28">
        <f>HYPERLINK("https://klasma.github.io/Logging_2506/tillsynsmail/A 45324-2022 tillsynsbegäran mail.docx", "A 45324-2022")</f>
        <v/>
      </c>
    </row>
    <row r="29" ht="15" customHeight="1">
      <c r="A29" t="inlineStr">
        <is>
          <t>A 25279-2023</t>
        </is>
      </c>
      <c r="B29" s="1" t="n">
        <v>45079</v>
      </c>
      <c r="C29" s="1" t="n">
        <v>45907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HYPERLINK("https://klasma.github.io/Logging_2506/artfynd/A 25279-2023 artfynd.xlsx", "A 25279-2023")</f>
        <v/>
      </c>
      <c r="T29">
        <f>HYPERLINK("https://klasma.github.io/Logging_2506/kartor/A 25279-2023 karta.png", "A 25279-2023")</f>
        <v/>
      </c>
      <c r="V29">
        <f>HYPERLINK("https://klasma.github.io/Logging_2506/klagomål/A 25279-2023 FSC-klagomål.docx", "A 25279-2023")</f>
        <v/>
      </c>
      <c r="W29">
        <f>HYPERLINK("https://klasma.github.io/Logging_2506/klagomålsmail/A 25279-2023 FSC-klagomål mail.docx", "A 25279-2023")</f>
        <v/>
      </c>
      <c r="X29">
        <f>HYPERLINK("https://klasma.github.io/Logging_2506/tillsyn/A 25279-2023 tillsynsbegäran.docx", "A 25279-2023")</f>
        <v/>
      </c>
      <c r="Y29">
        <f>HYPERLINK("https://klasma.github.io/Logging_2506/tillsynsmail/A 25279-2023 tillsynsbegäran mail.docx", "A 25279-2023")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45907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39728-2025</t>
        </is>
      </c>
      <c r="B31" s="1" t="n">
        <v>45891.34503472222</v>
      </c>
      <c r="C31" s="1" t="n">
        <v>45907</v>
      </c>
      <c r="D31" t="inlineStr">
        <is>
          <t>NORRBOTTENS LÄN</t>
        </is>
      </c>
      <c r="E31" t="inlineStr">
        <is>
          <t>ARJEPLOG</t>
        </is>
      </c>
      <c r="G31" t="n">
        <v>36.2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Lavskrika</t>
        </is>
      </c>
      <c r="S31">
        <f>HYPERLINK("https://klasma.github.io/Logging_2506/artfynd/A 39728-2025 artfynd.xlsx", "A 39728-2025")</f>
        <v/>
      </c>
      <c r="T31">
        <f>HYPERLINK("https://klasma.github.io/Logging_2506/kartor/A 39728-2025 karta.png", "A 39728-2025")</f>
        <v/>
      </c>
      <c r="V31">
        <f>HYPERLINK("https://klasma.github.io/Logging_2506/klagomål/A 39728-2025 FSC-klagomål.docx", "A 39728-2025")</f>
        <v/>
      </c>
      <c r="W31">
        <f>HYPERLINK("https://klasma.github.io/Logging_2506/klagomålsmail/A 39728-2025 FSC-klagomål mail.docx", "A 39728-2025")</f>
        <v/>
      </c>
      <c r="X31">
        <f>HYPERLINK("https://klasma.github.io/Logging_2506/tillsyn/A 39728-2025 tillsynsbegäran.docx", "A 39728-2025")</f>
        <v/>
      </c>
      <c r="Y31">
        <f>HYPERLINK("https://klasma.github.io/Logging_2506/tillsynsmail/A 39728-2025 tillsynsbegäran mail.docx", "A 39728-2025")</f>
        <v/>
      </c>
      <c r="Z31">
        <f>HYPERLINK("https://klasma.github.io/Logging_2506/fåglar/A 39728-2025 prioriterade fågelarter.docx", "A 39728-2025")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45907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45907</v>
      </c>
      <c r="D33" t="inlineStr">
        <is>
          <t>NORRBOTTENS LÄN</t>
        </is>
      </c>
      <c r="E33" t="inlineStr">
        <is>
          <t>ARJEPLOG</t>
        </is>
      </c>
      <c r="G33" t="n">
        <v>21.6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45907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45907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45907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45907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45907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45907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45907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45907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45907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45907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45907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45907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45907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31439-2021</t>
        </is>
      </c>
      <c r="B47" s="1" t="n">
        <v>44369</v>
      </c>
      <c r="C47" s="1" t="n">
        <v>45907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45907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45907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45907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8727-2021</t>
        </is>
      </c>
      <c r="B51" s="1" t="n">
        <v>44246</v>
      </c>
      <c r="C51" s="1" t="n">
        <v>45907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12.9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45907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19620-2022</t>
        </is>
      </c>
      <c r="B53" s="1" t="n">
        <v>44694</v>
      </c>
      <c r="C53" s="1" t="n">
        <v>45907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72279-2021</t>
        </is>
      </c>
      <c r="B54" s="1" t="n">
        <v>44543</v>
      </c>
      <c r="C54" s="1" t="n">
        <v>45907</v>
      </c>
      <c r="D54" t="inlineStr">
        <is>
          <t>NORRBOTTENS LÄN</t>
        </is>
      </c>
      <c r="E54" t="inlineStr">
        <is>
          <t>ARJEPLOG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25270-2023</t>
        </is>
      </c>
      <c r="B55" s="1" t="n">
        <v>45079</v>
      </c>
      <c r="C55" s="1" t="n">
        <v>45907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29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48940-2023</t>
        </is>
      </c>
      <c r="B56" s="1" t="n">
        <v>45205</v>
      </c>
      <c r="C56" s="1" t="n">
        <v>45907</v>
      </c>
      <c r="D56" t="inlineStr">
        <is>
          <t>NORRBOTTENS LÄN</t>
        </is>
      </c>
      <c r="E56" t="inlineStr">
        <is>
          <t>ARJEPLOG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42274-2022</t>
        </is>
      </c>
      <c r="B57" s="1" t="n">
        <v>44830</v>
      </c>
      <c r="C57" s="1" t="n">
        <v>45907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56754-2024</t>
        </is>
      </c>
      <c r="B58" s="1" t="n">
        <v>45625</v>
      </c>
      <c r="C58" s="1" t="n">
        <v>45907</v>
      </c>
      <c r="D58" t="inlineStr">
        <is>
          <t>NORRBOTTENS LÄN</t>
        </is>
      </c>
      <c r="E58" t="inlineStr">
        <is>
          <t>ARJEPLOG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30870-2023</t>
        </is>
      </c>
      <c r="B59" s="1" t="n">
        <v>45113</v>
      </c>
      <c r="C59" s="1" t="n">
        <v>45907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25.5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46910-2024</t>
        </is>
      </c>
      <c r="B60" s="1" t="n">
        <v>45583</v>
      </c>
      <c r="C60" s="1" t="n">
        <v>45907</v>
      </c>
      <c r="D60" t="inlineStr">
        <is>
          <t>NORRBOTTENS LÄN</t>
        </is>
      </c>
      <c r="E60" t="inlineStr">
        <is>
          <t>ARJEPLOG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61729-2024</t>
        </is>
      </c>
      <c r="B61" s="1" t="n">
        <v>45649</v>
      </c>
      <c r="C61" s="1" t="n">
        <v>45907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55266-2024</t>
        </is>
      </c>
      <c r="B62" s="1" t="n">
        <v>45621</v>
      </c>
      <c r="C62" s="1" t="n">
        <v>45907</v>
      </c>
      <c r="D62" t="inlineStr">
        <is>
          <t>NORRBOTTENS LÄN</t>
        </is>
      </c>
      <c r="E62" t="inlineStr">
        <is>
          <t>ARJEPLOG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56276-2021</t>
        </is>
      </c>
      <c r="B63" s="1" t="n">
        <v>44479</v>
      </c>
      <c r="C63" s="1" t="n">
        <v>45907</v>
      </c>
      <c r="D63" t="inlineStr">
        <is>
          <t>NORRBOTTENS LÄN</t>
        </is>
      </c>
      <c r="E63" t="inlineStr">
        <is>
          <t>ARJEPLOG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55124-2024</t>
        </is>
      </c>
      <c r="B64" s="1" t="n">
        <v>45618</v>
      </c>
      <c r="C64" s="1" t="n">
        <v>45907</v>
      </c>
      <c r="D64" t="inlineStr">
        <is>
          <t>NORRBOTTENS LÄN</t>
        </is>
      </c>
      <c r="E64" t="inlineStr">
        <is>
          <t>ARJEPLOG</t>
        </is>
      </c>
      <c r="G64" t="n">
        <v>18.3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55422-2021</t>
        </is>
      </c>
      <c r="B65" s="1" t="n">
        <v>44475</v>
      </c>
      <c r="C65" s="1" t="n">
        <v>45907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64822-2023</t>
        </is>
      </c>
      <c r="B66" s="1" t="n">
        <v>45281</v>
      </c>
      <c r="C66" s="1" t="n">
        <v>45907</v>
      </c>
      <c r="D66" t="inlineStr">
        <is>
          <t>NORRBOTTENS LÄN</t>
        </is>
      </c>
      <c r="E66" t="inlineStr">
        <is>
          <t>ARJEPLOG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26811-2022</t>
        </is>
      </c>
      <c r="B67" s="1" t="n">
        <v>44735</v>
      </c>
      <c r="C67" s="1" t="n">
        <v>45907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29649-2024</t>
        </is>
      </c>
      <c r="B68" s="1" t="n">
        <v>45484</v>
      </c>
      <c r="C68" s="1" t="n">
        <v>45907</v>
      </c>
      <c r="D68" t="inlineStr">
        <is>
          <t>NORRBOTTENS LÄN</t>
        </is>
      </c>
      <c r="E68" t="inlineStr">
        <is>
          <t>ARJEPLOG</t>
        </is>
      </c>
      <c r="F68" t="inlineStr">
        <is>
          <t>Allmännings- och besparingsskogar</t>
        </is>
      </c>
      <c r="G68" t="n">
        <v>24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13119-2025</t>
        </is>
      </c>
      <c r="B69" s="1" t="n">
        <v>45734</v>
      </c>
      <c r="C69" s="1" t="n">
        <v>45907</v>
      </c>
      <c r="D69" t="inlineStr">
        <is>
          <t>NORRBOTTENS LÄN</t>
        </is>
      </c>
      <c r="E69" t="inlineStr">
        <is>
          <t>ARJEPLOG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20905-2025</t>
        </is>
      </c>
      <c r="B70" s="1" t="n">
        <v>45777.40407407407</v>
      </c>
      <c r="C70" s="1" t="n">
        <v>45907</v>
      </c>
      <c r="D70" t="inlineStr">
        <is>
          <t>NORRBOTTENS LÄN</t>
        </is>
      </c>
      <c r="E70" t="inlineStr">
        <is>
          <t>ARJEPLOG</t>
        </is>
      </c>
      <c r="G70" t="n">
        <v>10.6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45924-2023</t>
        </is>
      </c>
      <c r="B71" s="1" t="n">
        <v>45189</v>
      </c>
      <c r="C71" s="1" t="n">
        <v>45907</v>
      </c>
      <c r="D71" t="inlineStr">
        <is>
          <t>NORRBOTTENS LÄN</t>
        </is>
      </c>
      <c r="E71" t="inlineStr">
        <is>
          <t>ARJEPLOG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20916-2025</t>
        </is>
      </c>
      <c r="B72" s="1" t="n">
        <v>45777.41037037037</v>
      </c>
      <c r="C72" s="1" t="n">
        <v>45907</v>
      </c>
      <c r="D72" t="inlineStr">
        <is>
          <t>NORRBOTTENS LÄN</t>
        </is>
      </c>
      <c r="E72" t="inlineStr">
        <is>
          <t>ARJEPLOG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10825-2025</t>
        </is>
      </c>
      <c r="B73" s="1" t="n">
        <v>45722</v>
      </c>
      <c r="C73" s="1" t="n">
        <v>45907</v>
      </c>
      <c r="D73" t="inlineStr">
        <is>
          <t>NORRBOTTENS LÄN</t>
        </is>
      </c>
      <c r="E73" t="inlineStr">
        <is>
          <t>ARJEPLOG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45072-2023</t>
        </is>
      </c>
      <c r="B74" s="1" t="n">
        <v>45187</v>
      </c>
      <c r="C74" s="1" t="n">
        <v>45907</v>
      </c>
      <c r="D74" t="inlineStr">
        <is>
          <t>NORRBOTTENS LÄN</t>
        </is>
      </c>
      <c r="E74" t="inlineStr">
        <is>
          <t>ARJEPLOG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18923-2025</t>
        </is>
      </c>
      <c r="B75" s="1" t="n">
        <v>45764</v>
      </c>
      <c r="C75" s="1" t="n">
        <v>45907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62801-2023</t>
        </is>
      </c>
      <c r="B76" s="1" t="n">
        <v>45268</v>
      </c>
      <c r="C76" s="1" t="n">
        <v>45907</v>
      </c>
      <c r="D76" t="inlineStr">
        <is>
          <t>NORRBOTTENS LÄN</t>
        </is>
      </c>
      <c r="E76" t="inlineStr">
        <is>
          <t>ARJEPLOG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58370-2023</t>
        </is>
      </c>
      <c r="B77" s="1" t="n">
        <v>45250</v>
      </c>
      <c r="C77" s="1" t="n">
        <v>45907</v>
      </c>
      <c r="D77" t="inlineStr">
        <is>
          <t>NORRBOTTENS LÄN</t>
        </is>
      </c>
      <c r="E77" t="inlineStr">
        <is>
          <t>ARJEPLOG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64809-2023</t>
        </is>
      </c>
      <c r="B78" s="1" t="n">
        <v>45281</v>
      </c>
      <c r="C78" s="1" t="n">
        <v>45907</v>
      </c>
      <c r="D78" t="inlineStr">
        <is>
          <t>NORRBOTTENS LÄN</t>
        </is>
      </c>
      <c r="E78" t="inlineStr">
        <is>
          <t>ARJEPLOG</t>
        </is>
      </c>
      <c r="G78" t="n">
        <v>17.8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64826-2023</t>
        </is>
      </c>
      <c r="B79" s="1" t="n">
        <v>45281</v>
      </c>
      <c r="C79" s="1" t="n">
        <v>45907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26470-2024</t>
        </is>
      </c>
      <c r="B80" s="1" t="n">
        <v>45468</v>
      </c>
      <c r="C80" s="1" t="n">
        <v>45907</v>
      </c>
      <c r="D80" t="inlineStr">
        <is>
          <t>NORRBOTTENS LÄN</t>
        </is>
      </c>
      <c r="E80" t="inlineStr">
        <is>
          <t>ARJEPLOG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52581-2022</t>
        </is>
      </c>
      <c r="B81" s="1" t="n">
        <v>44874</v>
      </c>
      <c r="C81" s="1" t="n">
        <v>45907</v>
      </c>
      <c r="D81" t="inlineStr">
        <is>
          <t>NORRBOTTENS LÄN</t>
        </is>
      </c>
      <c r="E81" t="inlineStr">
        <is>
          <t>ARJEPLOG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25440-2024</t>
        </is>
      </c>
      <c r="B82" s="1" t="n">
        <v>45463</v>
      </c>
      <c r="C82" s="1" t="n">
        <v>45907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30.7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43045-2022</t>
        </is>
      </c>
      <c r="B83" s="1" t="n">
        <v>44833</v>
      </c>
      <c r="C83" s="1" t="n">
        <v>45907</v>
      </c>
      <c r="D83" t="inlineStr">
        <is>
          <t>NORRBOTTENS LÄN</t>
        </is>
      </c>
      <c r="E83" t="inlineStr">
        <is>
          <t>ARJEPLOG</t>
        </is>
      </c>
      <c r="G83" t="n">
        <v>24.6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43045-2022</t>
        </is>
      </c>
      <c r="B84" s="1" t="n">
        <v>44833</v>
      </c>
      <c r="C84" s="1" t="n">
        <v>45907</v>
      </c>
      <c r="D84" t="inlineStr">
        <is>
          <t>NORRBOTTENS LÄN</t>
        </is>
      </c>
      <c r="E84" t="inlineStr">
        <is>
          <t>ARJEPLOG</t>
        </is>
      </c>
      <c r="G84" t="n">
        <v>23.2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17536-2023</t>
        </is>
      </c>
      <c r="B85" s="1" t="n">
        <v>45034</v>
      </c>
      <c r="C85" s="1" t="n">
        <v>45907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20.3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3006-2024</t>
        </is>
      </c>
      <c r="B86" s="1" t="n">
        <v>45315</v>
      </c>
      <c r="C86" s="1" t="n">
        <v>45907</v>
      </c>
      <c r="D86" t="inlineStr">
        <is>
          <t>NORRBOTTENS LÄN</t>
        </is>
      </c>
      <c r="E86" t="inlineStr">
        <is>
          <t>ARJEPLOG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26103-2024</t>
        </is>
      </c>
      <c r="B87" s="1" t="n">
        <v>45467</v>
      </c>
      <c r="C87" s="1" t="n">
        <v>45907</v>
      </c>
      <c r="D87" t="inlineStr">
        <is>
          <t>NORRBOTTENS LÄN</t>
        </is>
      </c>
      <c r="E87" t="inlineStr">
        <is>
          <t>ARJEPLOG</t>
        </is>
      </c>
      <c r="G87" t="n">
        <v>17.2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526-2025</t>
        </is>
      </c>
      <c r="B88" s="1" t="n">
        <v>45664</v>
      </c>
      <c r="C88" s="1" t="n">
        <v>45907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64832-2023</t>
        </is>
      </c>
      <c r="B89" s="1" t="n">
        <v>45281</v>
      </c>
      <c r="C89" s="1" t="n">
        <v>45907</v>
      </c>
      <c r="D89" t="inlineStr">
        <is>
          <t>NORRBOTTENS LÄN</t>
        </is>
      </c>
      <c r="E89" t="inlineStr">
        <is>
          <t>ARJEPLOG</t>
        </is>
      </c>
      <c r="G89" t="n">
        <v>43.6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29667-2025</t>
        </is>
      </c>
      <c r="B90" s="1" t="n">
        <v>45825</v>
      </c>
      <c r="C90" s="1" t="n">
        <v>45907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20.1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25275-2023</t>
        </is>
      </c>
      <c r="B91" s="1" t="n">
        <v>45079</v>
      </c>
      <c r="C91" s="1" t="n">
        <v>45907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22.7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31104-2025</t>
        </is>
      </c>
      <c r="B92" s="1" t="n">
        <v>45832.60090277778</v>
      </c>
      <c r="C92" s="1" t="n">
        <v>45907</v>
      </c>
      <c r="D92" t="inlineStr">
        <is>
          <t>NORRBOTTENS LÄN</t>
        </is>
      </c>
      <c r="E92" t="inlineStr">
        <is>
          <t>ARJEPLOG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25928-2024</t>
        </is>
      </c>
      <c r="B93" s="1" t="n">
        <v>45467</v>
      </c>
      <c r="C93" s="1" t="n">
        <v>45907</v>
      </c>
      <c r="D93" t="inlineStr">
        <is>
          <t>NORRBOTTENS LÄN</t>
        </is>
      </c>
      <c r="E93" t="inlineStr">
        <is>
          <t>ARJEPLOG</t>
        </is>
      </c>
      <c r="G93" t="n">
        <v>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37442-2025</t>
        </is>
      </c>
      <c r="B94" s="1" t="n">
        <v>45877.54096064815</v>
      </c>
      <c r="C94" s="1" t="n">
        <v>45907</v>
      </c>
      <c r="D94" t="inlineStr">
        <is>
          <t>NORRBOTTENS LÄN</t>
        </is>
      </c>
      <c r="E94" t="inlineStr">
        <is>
          <t>ARJEPLOG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45907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23949-2024</t>
        </is>
      </c>
      <c r="B96" s="1" t="n">
        <v>45455</v>
      </c>
      <c r="C96" s="1" t="n">
        <v>45907</v>
      </c>
      <c r="D96" t="inlineStr">
        <is>
          <t>NORRBOTTENS LÄN</t>
        </is>
      </c>
      <c r="E96" t="inlineStr">
        <is>
          <t>ARJEPLOG</t>
        </is>
      </c>
      <c r="F96" t="inlineStr">
        <is>
          <t>SCA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58989-2024</t>
        </is>
      </c>
      <c r="B97" s="1" t="n">
        <v>45636</v>
      </c>
      <c r="C97" s="1" t="n">
        <v>45907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36779-2025</t>
        </is>
      </c>
      <c r="B98" s="1" t="n">
        <v>45873</v>
      </c>
      <c r="C98" s="1" t="n">
        <v>45907</v>
      </c>
      <c r="D98" t="inlineStr">
        <is>
          <t>NORRBOTTENS LÄN</t>
        </is>
      </c>
      <c r="E98" t="inlineStr">
        <is>
          <t>ARJEPLOG</t>
        </is>
      </c>
      <c r="G98" t="n">
        <v>17.2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38851-2025</t>
        </is>
      </c>
      <c r="B99" s="1" t="n">
        <v>45887.55271990741</v>
      </c>
      <c r="C99" s="1" t="n">
        <v>45907</v>
      </c>
      <c r="D99" t="inlineStr">
        <is>
          <t>NORRBOTTENS LÄN</t>
        </is>
      </c>
      <c r="E99" t="inlineStr">
        <is>
          <t>ARJEPLOG</t>
        </is>
      </c>
      <c r="G99" t="n">
        <v>15.2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30617-2025</t>
        </is>
      </c>
      <c r="B100" s="1" t="n">
        <v>45831</v>
      </c>
      <c r="C100" s="1" t="n">
        <v>45907</v>
      </c>
      <c r="D100" t="inlineStr">
        <is>
          <t>NORRBOTTENS LÄN</t>
        </is>
      </c>
      <c r="E100" t="inlineStr">
        <is>
          <t>ARJEPLOG</t>
        </is>
      </c>
      <c r="F100" t="inlineStr">
        <is>
          <t>Allmännings- och besparingsskogar</t>
        </is>
      </c>
      <c r="G100" t="n">
        <v>39.8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48376-2023</t>
        </is>
      </c>
      <c r="B101" s="1" t="n">
        <v>45205</v>
      </c>
      <c r="C101" s="1" t="n">
        <v>45907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Aktiebolag</t>
        </is>
      </c>
      <c r="G101" t="n">
        <v>18.3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30595-2025</t>
        </is>
      </c>
      <c r="B102" s="1" t="n">
        <v>45831</v>
      </c>
      <c r="C102" s="1" t="n">
        <v>45907</v>
      </c>
      <c r="D102" t="inlineStr">
        <is>
          <t>NORRBOTTENS LÄN</t>
        </is>
      </c>
      <c r="E102" t="inlineStr">
        <is>
          <t>ARJEPLOG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30606-2025</t>
        </is>
      </c>
      <c r="B103" s="1" t="n">
        <v>45831</v>
      </c>
      <c r="C103" s="1" t="n">
        <v>45907</v>
      </c>
      <c r="D103" t="inlineStr">
        <is>
          <t>NORRBOTTENS LÄN</t>
        </is>
      </c>
      <c r="E103" t="inlineStr">
        <is>
          <t>ARJEPLOG</t>
        </is>
      </c>
      <c r="F103" t="inlineStr">
        <is>
          <t>Allmännings- och besparingsskogar</t>
        </is>
      </c>
      <c r="G103" t="n">
        <v>70.40000000000001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12409-2025</t>
        </is>
      </c>
      <c r="B104" s="1" t="n">
        <v>45730.43366898148</v>
      </c>
      <c r="C104" s="1" t="n">
        <v>45907</v>
      </c>
      <c r="D104" t="inlineStr">
        <is>
          <t>NORRBOTTENS LÄN</t>
        </is>
      </c>
      <c r="E104" t="inlineStr">
        <is>
          <t>ARJEPLOG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29674-2025</t>
        </is>
      </c>
      <c r="B105" s="1" t="n">
        <v>45825</v>
      </c>
      <c r="C105" s="1" t="n">
        <v>45907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25.1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29662-2025</t>
        </is>
      </c>
      <c r="B106" s="1" t="n">
        <v>45825</v>
      </c>
      <c r="C106" s="1" t="n">
        <v>45907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23.7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45907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45326-2024</t>
        </is>
      </c>
      <c r="B108" s="1" t="n">
        <v>45576</v>
      </c>
      <c r="C108" s="1" t="n">
        <v>45907</v>
      </c>
      <c r="D108" t="inlineStr">
        <is>
          <t>NORRBOTTENS LÄN</t>
        </is>
      </c>
      <c r="E108" t="inlineStr">
        <is>
          <t>ARJEPLOG</t>
        </is>
      </c>
      <c r="F108" t="inlineStr">
        <is>
          <t>Sveaskog</t>
        </is>
      </c>
      <c r="G108" t="n">
        <v>13.3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54589-2021</t>
        </is>
      </c>
      <c r="B109" s="1" t="n">
        <v>44473</v>
      </c>
      <c r="C109" s="1" t="n">
        <v>45907</v>
      </c>
      <c r="D109" t="inlineStr">
        <is>
          <t>NORRBOTTENS LÄN</t>
        </is>
      </c>
      <c r="E109" t="inlineStr">
        <is>
          <t>ARJEPLOG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12447-2025</t>
        </is>
      </c>
      <c r="B110" s="1" t="n">
        <v>45730.48715277778</v>
      </c>
      <c r="C110" s="1" t="n">
        <v>45907</v>
      </c>
      <c r="D110" t="inlineStr">
        <is>
          <t>NORRBOTTENS LÄN</t>
        </is>
      </c>
      <c r="E110" t="inlineStr">
        <is>
          <t>ARJEPLOG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50255-2023</t>
        </is>
      </c>
      <c r="B111" s="1" t="n">
        <v>45216</v>
      </c>
      <c r="C111" s="1" t="n">
        <v>45907</v>
      </c>
      <c r="D111" t="inlineStr">
        <is>
          <t>NORRBOTTENS LÄN</t>
        </is>
      </c>
      <c r="E111" t="inlineStr">
        <is>
          <t>ARJEPLOG</t>
        </is>
      </c>
      <c r="G111" t="n">
        <v>20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61272-2020</t>
        </is>
      </c>
      <c r="B112" s="1" t="n">
        <v>44154</v>
      </c>
      <c r="C112" s="1" t="n">
        <v>45907</v>
      </c>
      <c r="D112" t="inlineStr">
        <is>
          <t>NORRBOTTENS LÄN</t>
        </is>
      </c>
      <c r="E112" t="inlineStr">
        <is>
          <t>ARJEPLOG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35194-2024</t>
        </is>
      </c>
      <c r="B113" s="1" t="n">
        <v>45530</v>
      </c>
      <c r="C113" s="1" t="n">
        <v>45907</v>
      </c>
      <c r="D113" t="inlineStr">
        <is>
          <t>NORRBOTTENS LÄN</t>
        </is>
      </c>
      <c r="E113" t="inlineStr">
        <is>
          <t>ARJEPLOG</t>
        </is>
      </c>
      <c r="G113" t="n">
        <v>20.1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20789-2022</t>
        </is>
      </c>
      <c r="B114" s="1" t="n">
        <v>44701</v>
      </c>
      <c r="C114" s="1" t="n">
        <v>45907</v>
      </c>
      <c r="D114" t="inlineStr">
        <is>
          <t>NORRBOTTENS LÄN</t>
        </is>
      </c>
      <c r="E114" t="inlineStr">
        <is>
          <t>ARJEPLOG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45907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26479-2024</t>
        </is>
      </c>
      <c r="B116" s="1" t="n">
        <v>45468</v>
      </c>
      <c r="C116" s="1" t="n">
        <v>45907</v>
      </c>
      <c r="D116" t="inlineStr">
        <is>
          <t>NORRBOTTENS LÄN</t>
        </is>
      </c>
      <c r="E116" t="inlineStr">
        <is>
          <t>ARJEPLOG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64837-2023</t>
        </is>
      </c>
      <c r="B117" s="1" t="n">
        <v>45281</v>
      </c>
      <c r="C117" s="1" t="n">
        <v>45907</v>
      </c>
      <c r="D117" t="inlineStr">
        <is>
          <t>NORRBOTTENS LÄN</t>
        </is>
      </c>
      <c r="E117" t="inlineStr">
        <is>
          <t>ARJEPLOG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64840-2023</t>
        </is>
      </c>
      <c r="B118" s="1" t="n">
        <v>45281</v>
      </c>
      <c r="C118" s="1" t="n">
        <v>45907</v>
      </c>
      <c r="D118" t="inlineStr">
        <is>
          <t>NORRBOTTENS LÄN</t>
        </is>
      </c>
      <c r="E118" t="inlineStr">
        <is>
          <t>ARJEPLOG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41061-2024</t>
        </is>
      </c>
      <c r="B119" s="1" t="n">
        <v>45558</v>
      </c>
      <c r="C119" s="1" t="n">
        <v>45907</v>
      </c>
      <c r="D119" t="inlineStr">
        <is>
          <t>NORRBOTTENS LÄN</t>
        </is>
      </c>
      <c r="E119" t="inlineStr">
        <is>
          <t>ARJEPLOG</t>
        </is>
      </c>
      <c r="G119" t="n">
        <v>23.1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56785-2024</t>
        </is>
      </c>
      <c r="B120" s="1" t="n">
        <v>45625</v>
      </c>
      <c r="C120" s="1" t="n">
        <v>45907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25239-2023</t>
        </is>
      </c>
      <c r="B121" s="1" t="n">
        <v>45079</v>
      </c>
      <c r="C121" s="1" t="n">
        <v>45907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53822-2024</t>
        </is>
      </c>
      <c r="B122" s="1" t="n">
        <v>45614</v>
      </c>
      <c r="C122" s="1" t="n">
        <v>45907</v>
      </c>
      <c r="D122" t="inlineStr">
        <is>
          <t>NORRBOTTENS LÄN</t>
        </is>
      </c>
      <c r="E122" t="inlineStr">
        <is>
          <t>ARJEPLOG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56800-2024</t>
        </is>
      </c>
      <c r="B123" s="1" t="n">
        <v>45625</v>
      </c>
      <c r="C123" s="1" t="n">
        <v>45907</v>
      </c>
      <c r="D123" t="inlineStr">
        <is>
          <t>NORRBOTTENS LÄN</t>
        </is>
      </c>
      <c r="E123" t="inlineStr">
        <is>
          <t>ARJEPLOG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64816-2023</t>
        </is>
      </c>
      <c r="B124" s="1" t="n">
        <v>45281</v>
      </c>
      <c r="C124" s="1" t="n">
        <v>45907</v>
      </c>
      <c r="D124" t="inlineStr">
        <is>
          <t>NORRBOTTENS LÄN</t>
        </is>
      </c>
      <c r="E124" t="inlineStr">
        <is>
          <t>ARJEPLOG</t>
        </is>
      </c>
      <c r="G124" t="n">
        <v>13.4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14375-2021</t>
        </is>
      </c>
      <c r="B125" s="1" t="n">
        <v>44279</v>
      </c>
      <c r="C125" s="1" t="n">
        <v>45907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60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28354-2022</t>
        </is>
      </c>
      <c r="B126" s="1" t="n">
        <v>44735</v>
      </c>
      <c r="C126" s="1" t="n">
        <v>45907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45417-2024</t>
        </is>
      </c>
      <c r="B127" s="1" t="n">
        <v>45576</v>
      </c>
      <c r="C127" s="1" t="n">
        <v>45907</v>
      </c>
      <c r="D127" t="inlineStr">
        <is>
          <t>NORRBOTTENS LÄN</t>
        </is>
      </c>
      <c r="E127" t="inlineStr">
        <is>
          <t>ARJEPLOG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73880-2021</t>
        </is>
      </c>
      <c r="B128" s="1" t="n">
        <v>44552</v>
      </c>
      <c r="C128" s="1" t="n">
        <v>45907</v>
      </c>
      <c r="D128" t="inlineStr">
        <is>
          <t>NORRBOTTENS LÄN</t>
        </is>
      </c>
      <c r="E128" t="inlineStr">
        <is>
          <t>ARJEPLOG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56794-2024</t>
        </is>
      </c>
      <c r="B129" s="1" t="n">
        <v>45625</v>
      </c>
      <c r="C129" s="1" t="n">
        <v>45907</v>
      </c>
      <c r="D129" t="inlineStr">
        <is>
          <t>NORRBOTTENS LÄN</t>
        </is>
      </c>
      <c r="E129" t="inlineStr">
        <is>
          <t>ARJEPLOG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56782-2024</t>
        </is>
      </c>
      <c r="B130" s="1" t="n">
        <v>45625</v>
      </c>
      <c r="C130" s="1" t="n">
        <v>45907</v>
      </c>
      <c r="D130" t="inlineStr">
        <is>
          <t>NORRBOTTENS LÄN</t>
        </is>
      </c>
      <c r="E130" t="inlineStr">
        <is>
          <t>ARJEPLOG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26472-2024</t>
        </is>
      </c>
      <c r="B131" s="1" t="n">
        <v>45469</v>
      </c>
      <c r="C131" s="1" t="n">
        <v>45907</v>
      </c>
      <c r="D131" t="inlineStr">
        <is>
          <t>NORRBOTTENS LÄN</t>
        </is>
      </c>
      <c r="E131" t="inlineStr">
        <is>
          <t>ARJEPLOG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26486-2024</t>
        </is>
      </c>
      <c r="B132" s="1" t="n">
        <v>45469</v>
      </c>
      <c r="C132" s="1" t="n">
        <v>45907</v>
      </c>
      <c r="D132" t="inlineStr">
        <is>
          <t>NORRBOTTENS LÄN</t>
        </is>
      </c>
      <c r="E132" t="inlineStr">
        <is>
          <t>ARJEPLOG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44218-2023</t>
        </is>
      </c>
      <c r="B133" s="1" t="n">
        <v>45183</v>
      </c>
      <c r="C133" s="1" t="n">
        <v>45907</v>
      </c>
      <c r="D133" t="inlineStr">
        <is>
          <t>NORRBOTTENS LÄN</t>
        </is>
      </c>
      <c r="E133" t="inlineStr">
        <is>
          <t>ARJEPLOG</t>
        </is>
      </c>
      <c r="F133" t="inlineStr">
        <is>
          <t>Allmännings- och besparingsskogar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2025-09-07T09:00:27Z</dcterms:created>
  <dcterms:modified xmlns:dcterms="http://purl.org/dc/terms/" xmlns:xsi="http://www.w3.org/2001/XMLSchema-instance" xsi:type="dcterms:W3CDTF">2025-09-07T09:00:27Z</dcterms:modified>
</cp:coreProperties>
</file>