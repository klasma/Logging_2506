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45964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45964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45964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45964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45964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45964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45964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45964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45964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45964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45964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45964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403-2024</t>
        </is>
      </c>
      <c r="B14" s="1" t="n">
        <v>45296</v>
      </c>
      <c r="C14" s="1" t="n">
        <v>45964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218.7</v>
      </c>
      <c r="H14" t="n">
        <v>1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8</v>
      </c>
      <c r="R14" s="2" t="inlineStr">
        <is>
          <t>Ostticka
Rynkskinn
Garnlav
Granticka
Harticka
Rosenticka
Tretåig hackspett
Ullticka</t>
        </is>
      </c>
      <c r="S14">
        <f>HYPERLINK("https://klasma.github.io/Logging_2506/artfynd/A 403-2024 artfynd.xlsx", "A 403-2024")</f>
        <v/>
      </c>
      <c r="T14">
        <f>HYPERLINK("https://klasma.github.io/Logging_2506/kartor/A 403-2024 karta.png", "A 403-2024")</f>
        <v/>
      </c>
      <c r="V14">
        <f>HYPERLINK("https://klasma.github.io/Logging_2506/klagomål/A 403-2024 FSC-klagomål.docx", "A 403-2024")</f>
        <v/>
      </c>
      <c r="W14">
        <f>HYPERLINK("https://klasma.github.io/Logging_2506/klagomålsmail/A 403-2024 FSC-klagomål mail.docx", "A 403-2024")</f>
        <v/>
      </c>
      <c r="X14">
        <f>HYPERLINK("https://klasma.github.io/Logging_2506/tillsyn/A 403-2024 tillsynsbegäran.docx", "A 403-2024")</f>
        <v/>
      </c>
      <c r="Y14">
        <f>HYPERLINK("https://klasma.github.io/Logging_2506/tillsynsmail/A 403-2024 tillsynsbegäran mail.docx", "A 403-2024")</f>
        <v/>
      </c>
      <c r="Z14">
        <f>HYPERLINK("https://klasma.github.io/Logging_2506/fåglar/A 403-2024 prioriterade fågelarter.docx", "A 403-2024")</f>
        <v/>
      </c>
    </row>
    <row r="15" ht="15" customHeight="1">
      <c r="A15" t="inlineStr">
        <is>
          <t>A 48673-2023</t>
        </is>
      </c>
      <c r="B15" s="1" t="n">
        <v>45203</v>
      </c>
      <c r="C15" s="1" t="n">
        <v>45964</v>
      </c>
      <c r="D15" t="inlineStr">
        <is>
          <t>NORRBOTTENS LÄN</t>
        </is>
      </c>
      <c r="E15" t="inlineStr">
        <is>
          <t>ARJEPLOG</t>
        </is>
      </c>
      <c r="G15" t="n">
        <v>32.7</v>
      </c>
      <c r="H15" t="n">
        <v>0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8</v>
      </c>
      <c r="R15" s="2" t="inlineStr">
        <is>
          <t>Rynkskinn
Garnlav
Granticka
Gränsticka
Harticka
Lunglav
Rosenticka
Ullticka</t>
        </is>
      </c>
      <c r="S15">
        <f>HYPERLINK("https://klasma.github.io/Logging_2506/artfynd/A 48673-2023 artfynd.xlsx", "A 48673-2023")</f>
        <v/>
      </c>
      <c r="T15">
        <f>HYPERLINK("https://klasma.github.io/Logging_2506/kartor/A 48673-2023 karta.png", "A 48673-2023")</f>
        <v/>
      </c>
      <c r="V15">
        <f>HYPERLINK("https://klasma.github.io/Logging_2506/klagomål/A 48673-2023 FSC-klagomål.docx", "A 48673-2023")</f>
        <v/>
      </c>
      <c r="W15">
        <f>HYPERLINK("https://klasma.github.io/Logging_2506/klagomålsmail/A 48673-2023 FSC-klagomål mail.docx", "A 48673-2023")</f>
        <v/>
      </c>
      <c r="X15">
        <f>HYPERLINK("https://klasma.github.io/Logging_2506/tillsyn/A 48673-2023 tillsynsbegäran.docx", "A 48673-2023")</f>
        <v/>
      </c>
      <c r="Y15">
        <f>HYPERLINK("https://klasma.github.io/Logging_2506/tillsynsmail/A 48673-2023 tillsynsbegäran mail.docx", "A 48673-2023")</f>
        <v/>
      </c>
    </row>
    <row r="16" ht="15" customHeight="1">
      <c r="A16" t="inlineStr">
        <is>
          <t>A 4544-2024</t>
        </is>
      </c>
      <c r="B16" s="1" t="n">
        <v>45327</v>
      </c>
      <c r="C16" s="1" t="n">
        <v>45964</v>
      </c>
      <c r="D16" t="inlineStr">
        <is>
          <t>NORRBOTTENS LÄN</t>
        </is>
      </c>
      <c r="E16" t="inlineStr">
        <is>
          <t>ARJEPLOG</t>
        </is>
      </c>
      <c r="G16" t="n">
        <v>6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Rynkskinn
Garnlav
Granticka
Knottrig blåslav
Rosenticka
Ullticka
Blodticka</t>
        </is>
      </c>
      <c r="S16">
        <f>HYPERLINK("https://klasma.github.io/Logging_2506/artfynd/A 4544-2024 artfynd.xlsx", "A 4544-2024")</f>
        <v/>
      </c>
      <c r="T16">
        <f>HYPERLINK("https://klasma.github.io/Logging_2506/kartor/A 4544-2024 karta.png", "A 4544-2024")</f>
        <v/>
      </c>
      <c r="V16">
        <f>HYPERLINK("https://klasma.github.io/Logging_2506/klagomål/A 4544-2024 FSC-klagomål.docx", "A 4544-2024")</f>
        <v/>
      </c>
      <c r="W16">
        <f>HYPERLINK("https://klasma.github.io/Logging_2506/klagomålsmail/A 4544-2024 FSC-klagomål mail.docx", "A 4544-2024")</f>
        <v/>
      </c>
      <c r="X16">
        <f>HYPERLINK("https://klasma.github.io/Logging_2506/tillsyn/A 4544-2024 tillsynsbegäran.docx", "A 4544-2024")</f>
        <v/>
      </c>
      <c r="Y16">
        <f>HYPERLINK("https://klasma.github.io/Logging_2506/tillsynsmail/A 4544-2024 tillsynsbegäran mail.docx", "A 4544-2024")</f>
        <v/>
      </c>
    </row>
    <row r="17" ht="15" customHeight="1">
      <c r="A17" t="inlineStr">
        <is>
          <t>A 59199-2021</t>
        </is>
      </c>
      <c r="B17" s="1" t="n">
        <v>44490</v>
      </c>
      <c r="C17" s="1" t="n">
        <v>45964</v>
      </c>
      <c r="D17" t="inlineStr">
        <is>
          <t>NORRBOTTENS LÄN</t>
        </is>
      </c>
      <c r="E17" t="inlineStr">
        <is>
          <t>ARJEPLOG</t>
        </is>
      </c>
      <c r="G17" t="n">
        <v>16.2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Rynkskinn
Gammelgransskål
Granticka
Gränsticka
Rosenticka
Ullticka</t>
        </is>
      </c>
      <c r="S17">
        <f>HYPERLINK("https://klasma.github.io/Logging_2506/artfynd/A 59199-2021 artfynd.xlsx", "A 59199-2021")</f>
        <v/>
      </c>
      <c r="T17">
        <f>HYPERLINK("https://klasma.github.io/Logging_2506/kartor/A 59199-2021 karta.png", "A 59199-2021")</f>
        <v/>
      </c>
      <c r="V17">
        <f>HYPERLINK("https://klasma.github.io/Logging_2506/klagomål/A 59199-2021 FSC-klagomål.docx", "A 59199-2021")</f>
        <v/>
      </c>
      <c r="W17">
        <f>HYPERLINK("https://klasma.github.io/Logging_2506/klagomålsmail/A 59199-2021 FSC-klagomål mail.docx", "A 59199-2021")</f>
        <v/>
      </c>
      <c r="X17">
        <f>HYPERLINK("https://klasma.github.io/Logging_2506/tillsyn/A 59199-2021 tillsynsbegäran.docx", "A 59199-2021")</f>
        <v/>
      </c>
      <c r="Y17">
        <f>HYPERLINK("https://klasma.github.io/Logging_2506/tillsynsmail/A 59199-2021 tillsynsbegäran mail.docx", "A 59199-2021")</f>
        <v/>
      </c>
    </row>
    <row r="18" ht="15" customHeight="1">
      <c r="A18" t="inlineStr">
        <is>
          <t>A 25229-2023</t>
        </is>
      </c>
      <c r="B18" s="1" t="n">
        <v>45079</v>
      </c>
      <c r="C18" s="1" t="n">
        <v>45964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18.2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Gammelgransskål
Granticka
Rosenticka
Rödbrun blekspik
Tretåig hackspett</t>
        </is>
      </c>
      <c r="S18">
        <f>HYPERLINK("https://klasma.github.io/Logging_2506/artfynd/A 25229-2023 artfynd.xlsx", "A 25229-2023")</f>
        <v/>
      </c>
      <c r="T18">
        <f>HYPERLINK("https://klasma.github.io/Logging_2506/kartor/A 25229-2023 karta.png", "A 25229-2023")</f>
        <v/>
      </c>
      <c r="V18">
        <f>HYPERLINK("https://klasma.github.io/Logging_2506/klagomål/A 25229-2023 FSC-klagomål.docx", "A 25229-2023")</f>
        <v/>
      </c>
      <c r="W18">
        <f>HYPERLINK("https://klasma.github.io/Logging_2506/klagomålsmail/A 25229-2023 FSC-klagomål mail.docx", "A 25229-2023")</f>
        <v/>
      </c>
      <c r="X18">
        <f>HYPERLINK("https://klasma.github.io/Logging_2506/tillsyn/A 25229-2023 tillsynsbegäran.docx", "A 25229-2023")</f>
        <v/>
      </c>
      <c r="Y18">
        <f>HYPERLINK("https://klasma.github.io/Logging_2506/tillsynsmail/A 25229-2023 tillsynsbegäran mail.docx", "A 25229-2023")</f>
        <v/>
      </c>
      <c r="Z18">
        <f>HYPERLINK("https://klasma.github.io/Logging_2506/fåglar/A 25229-2023 prioriterade fågelarter.docx", "A 25229-2023")</f>
        <v/>
      </c>
    </row>
    <row r="19" ht="15" customHeight="1">
      <c r="A19" t="inlineStr">
        <is>
          <t>A 47035-2022</t>
        </is>
      </c>
      <c r="B19" s="1" t="n">
        <v>44851</v>
      </c>
      <c r="C19" s="1" t="n">
        <v>45964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15.9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Månlåsbräken
Grönkulla
Spindelblomster
Tibast
Brudsporre</t>
        </is>
      </c>
      <c r="S19">
        <f>HYPERLINK("https://klasma.github.io/Logging_2506/artfynd/A 47035-2022 artfynd.xlsx", "A 47035-2022")</f>
        <v/>
      </c>
      <c r="T19">
        <f>HYPERLINK("https://klasma.github.io/Logging_2506/kartor/A 47035-2022 karta.png", "A 47035-2022")</f>
        <v/>
      </c>
      <c r="V19">
        <f>HYPERLINK("https://klasma.github.io/Logging_2506/klagomål/A 47035-2022 FSC-klagomål.docx", "A 47035-2022")</f>
        <v/>
      </c>
      <c r="W19">
        <f>HYPERLINK("https://klasma.github.io/Logging_2506/klagomålsmail/A 47035-2022 FSC-klagomål mail.docx", "A 47035-2022")</f>
        <v/>
      </c>
      <c r="X19">
        <f>HYPERLINK("https://klasma.github.io/Logging_2506/tillsyn/A 47035-2022 tillsynsbegäran.docx", "A 47035-2022")</f>
        <v/>
      </c>
      <c r="Y19">
        <f>HYPERLINK("https://klasma.github.io/Logging_2506/tillsynsmail/A 47035-2022 tillsynsbegäran mail.docx", "A 47035-2022")</f>
        <v/>
      </c>
    </row>
    <row r="20" ht="15" customHeight="1">
      <c r="A20" t="inlineStr">
        <is>
          <t>A 64803-2023</t>
        </is>
      </c>
      <c r="B20" s="1" t="n">
        <v>45281</v>
      </c>
      <c r="C20" s="1" t="n">
        <v>45964</v>
      </c>
      <c r="D20" t="inlineStr">
        <is>
          <t>NORRBOTTENS LÄN</t>
        </is>
      </c>
      <c r="E20" t="inlineStr">
        <is>
          <t>ARJEPLOG</t>
        </is>
      </c>
      <c r="G20" t="n">
        <v>43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Gullmurkling
Lunglav
Rosenticka
Ullticka</t>
        </is>
      </c>
      <c r="S20">
        <f>HYPERLINK("https://klasma.github.io/Logging_2506/artfynd/A 64803-2023 artfynd.xlsx", "A 64803-2023")</f>
        <v/>
      </c>
      <c r="T20">
        <f>HYPERLINK("https://klasma.github.io/Logging_2506/kartor/A 64803-2023 karta.png", "A 64803-2023")</f>
        <v/>
      </c>
      <c r="V20">
        <f>HYPERLINK("https://klasma.github.io/Logging_2506/klagomål/A 64803-2023 FSC-klagomål.docx", "A 64803-2023")</f>
        <v/>
      </c>
      <c r="W20">
        <f>HYPERLINK("https://klasma.github.io/Logging_2506/klagomålsmail/A 64803-2023 FSC-klagomål mail.docx", "A 64803-2023")</f>
        <v/>
      </c>
      <c r="X20">
        <f>HYPERLINK("https://klasma.github.io/Logging_2506/tillsyn/A 64803-2023 tillsynsbegäran.docx", "A 64803-2023")</f>
        <v/>
      </c>
      <c r="Y20">
        <f>HYPERLINK("https://klasma.github.io/Logging_2506/tillsynsmail/A 64803-2023 tillsynsbegäran mail.docx", "A 64803-2023")</f>
        <v/>
      </c>
    </row>
    <row r="21" ht="15" customHeight="1">
      <c r="A21" t="inlineStr">
        <is>
          <t>A 49079-2025</t>
        </is>
      </c>
      <c r="B21" s="1" t="n">
        <v>45937</v>
      </c>
      <c r="C21" s="1" t="n">
        <v>45964</v>
      </c>
      <c r="D21" t="inlineStr">
        <is>
          <t>NORRBOTTENS LÄN</t>
        </is>
      </c>
      <c r="E21" t="inlineStr">
        <is>
          <t>ARJEPLOG</t>
        </is>
      </c>
      <c r="F21" t="inlineStr">
        <is>
          <t>Sveaskog</t>
        </is>
      </c>
      <c r="G21" t="n">
        <v>24.7</v>
      </c>
      <c r="H21" t="n">
        <v>4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Plattlummer
Spindelblomster
Mattlummer
Revlummer</t>
        </is>
      </c>
      <c r="S21">
        <f>HYPERLINK("https://klasma.github.io/Logging_2506/artfynd/A 49079-2025 artfynd.xlsx", "A 49079-2025")</f>
        <v/>
      </c>
      <c r="T21">
        <f>HYPERLINK("https://klasma.github.io/Logging_2506/kartor/A 49079-2025 karta.png", "A 49079-2025")</f>
        <v/>
      </c>
      <c r="V21">
        <f>HYPERLINK("https://klasma.github.io/Logging_2506/klagomål/A 49079-2025 FSC-klagomål.docx", "A 49079-2025")</f>
        <v/>
      </c>
      <c r="W21">
        <f>HYPERLINK("https://klasma.github.io/Logging_2506/klagomålsmail/A 49079-2025 FSC-klagomål mail.docx", "A 49079-2025")</f>
        <v/>
      </c>
      <c r="X21">
        <f>HYPERLINK("https://klasma.github.io/Logging_2506/tillsyn/A 49079-2025 tillsynsbegäran.docx", "A 49079-2025")</f>
        <v/>
      </c>
      <c r="Y21">
        <f>HYPERLINK("https://klasma.github.io/Logging_2506/tillsynsmail/A 49079-2025 tillsynsbegäran mail.docx", "A 49079-2025")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45964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15171-2022</t>
        </is>
      </c>
      <c r="B23" s="1" t="n">
        <v>44658</v>
      </c>
      <c r="C23" s="1" t="n">
        <v>45964</v>
      </c>
      <c r="D23" t="inlineStr">
        <is>
          <t>NORRBOTTENS LÄN</t>
        </is>
      </c>
      <c r="E23" t="inlineStr">
        <is>
          <t>ARJEPLOG</t>
        </is>
      </c>
      <c r="G23" t="n">
        <v>48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Lunglav
Tretåig hackspett</t>
        </is>
      </c>
      <c r="S23">
        <f>HYPERLINK("https://klasma.github.io/Logging_2506/artfynd/A 15171-2022 artfynd.xlsx", "A 15171-2022")</f>
        <v/>
      </c>
      <c r="T23">
        <f>HYPERLINK("https://klasma.github.io/Logging_2506/kartor/A 15171-2022 karta.png", "A 15171-2022")</f>
        <v/>
      </c>
      <c r="V23">
        <f>HYPERLINK("https://klasma.github.io/Logging_2506/klagomål/A 15171-2022 FSC-klagomål.docx", "A 15171-2022")</f>
        <v/>
      </c>
      <c r="W23">
        <f>HYPERLINK("https://klasma.github.io/Logging_2506/klagomålsmail/A 15171-2022 FSC-klagomål mail.docx", "A 15171-2022")</f>
        <v/>
      </c>
      <c r="X23">
        <f>HYPERLINK("https://klasma.github.io/Logging_2506/tillsyn/A 15171-2022 tillsynsbegäran.docx", "A 15171-2022")</f>
        <v/>
      </c>
      <c r="Y23">
        <f>HYPERLINK("https://klasma.github.io/Logging_2506/tillsynsmail/A 15171-2022 tillsynsbegäran mail.docx", "A 15171-2022")</f>
        <v/>
      </c>
      <c r="Z23">
        <f>HYPERLINK("https://klasma.github.io/Logging_2506/fåglar/A 15171-2022 prioriterade fågelarter.docx", "A 15171-2022")</f>
        <v/>
      </c>
    </row>
    <row r="24" ht="15" customHeight="1">
      <c r="A24" t="inlineStr">
        <is>
          <t>A 26143-2024</t>
        </is>
      </c>
      <c r="B24" s="1" t="n">
        <v>45467</v>
      </c>
      <c r="C24" s="1" t="n">
        <v>45964</v>
      </c>
      <c r="D24" t="inlineStr">
        <is>
          <t>NORRBOTTENS LÄN</t>
        </is>
      </c>
      <c r="E24" t="inlineStr">
        <is>
          <t>ARJEPLOG</t>
        </is>
      </c>
      <c r="G24" t="n">
        <v>8.1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Blanksvart spiklav
Knottrig blåslav
Vedticka</t>
        </is>
      </c>
      <c r="S24">
        <f>HYPERLINK("https://klasma.github.io/Logging_2506/artfynd/A 26143-2024 artfynd.xlsx", "A 26143-2024")</f>
        <v/>
      </c>
      <c r="T24">
        <f>HYPERLINK("https://klasma.github.io/Logging_2506/kartor/A 26143-2024 karta.png", "A 26143-2024")</f>
        <v/>
      </c>
      <c r="V24">
        <f>HYPERLINK("https://klasma.github.io/Logging_2506/klagomål/A 26143-2024 FSC-klagomål.docx", "A 26143-2024")</f>
        <v/>
      </c>
      <c r="W24">
        <f>HYPERLINK("https://klasma.github.io/Logging_2506/klagomålsmail/A 26143-2024 FSC-klagomål mail.docx", "A 26143-2024")</f>
        <v/>
      </c>
      <c r="X24">
        <f>HYPERLINK("https://klasma.github.io/Logging_2506/tillsyn/A 26143-2024 tillsynsbegäran.docx", "A 26143-2024")</f>
        <v/>
      </c>
      <c r="Y24">
        <f>HYPERLINK("https://klasma.github.io/Logging_2506/tillsynsmail/A 26143-2024 tillsynsbegäran mail.docx", "A 26143-2024")</f>
        <v/>
      </c>
    </row>
    <row r="25" ht="15" customHeight="1">
      <c r="A25" t="inlineStr">
        <is>
          <t>A 45031-2023</t>
        </is>
      </c>
      <c r="B25" s="1" t="n">
        <v>45190</v>
      </c>
      <c r="C25" s="1" t="n">
        <v>45964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10.3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Granticka</t>
        </is>
      </c>
      <c r="S25">
        <f>HYPERLINK("https://klasma.github.io/Logging_2506/artfynd/A 45031-2023 artfynd.xlsx", "A 45031-2023")</f>
        <v/>
      </c>
      <c r="T25">
        <f>HYPERLINK("https://klasma.github.io/Logging_2506/kartor/A 45031-2023 karta.png", "A 45031-2023")</f>
        <v/>
      </c>
      <c r="V25">
        <f>HYPERLINK("https://klasma.github.io/Logging_2506/klagomål/A 45031-2023 FSC-klagomål.docx", "A 45031-2023")</f>
        <v/>
      </c>
      <c r="W25">
        <f>HYPERLINK("https://klasma.github.io/Logging_2506/klagomålsmail/A 45031-2023 FSC-klagomål mail.docx", "A 45031-2023")</f>
        <v/>
      </c>
      <c r="X25">
        <f>HYPERLINK("https://klasma.github.io/Logging_2506/tillsyn/A 45031-2023 tillsynsbegäran.docx", "A 45031-2023")</f>
        <v/>
      </c>
      <c r="Y25">
        <f>HYPERLINK("https://klasma.github.io/Logging_2506/tillsynsmail/A 45031-2023 tillsynsbegäran mail.docx", "A 45031-2023")</f>
        <v/>
      </c>
    </row>
    <row r="26" ht="15" customHeight="1">
      <c r="A26" t="inlineStr">
        <is>
          <t>A 14684-2021</t>
        </is>
      </c>
      <c r="B26" s="1" t="n">
        <v>44280</v>
      </c>
      <c r="C26" s="1" t="n">
        <v>45964</v>
      </c>
      <c r="D26" t="inlineStr">
        <is>
          <t>NORRBOTTENS LÄN</t>
        </is>
      </c>
      <c r="E26" t="inlineStr">
        <is>
          <t>ARJEPLOG</t>
        </is>
      </c>
      <c r="G26" t="n">
        <v>26.6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Tretåig hackspett
Ullticka</t>
        </is>
      </c>
      <c r="S26">
        <f>HYPERLINK("https://klasma.github.io/Logging_2506/artfynd/A 14684-2021 artfynd.xlsx", "A 14684-2021")</f>
        <v/>
      </c>
      <c r="T26">
        <f>HYPERLINK("https://klasma.github.io/Logging_2506/kartor/A 14684-2021 karta.png", "A 14684-2021")</f>
        <v/>
      </c>
      <c r="V26">
        <f>HYPERLINK("https://klasma.github.io/Logging_2506/klagomål/A 14684-2021 FSC-klagomål.docx", "A 14684-2021")</f>
        <v/>
      </c>
      <c r="W26">
        <f>HYPERLINK("https://klasma.github.io/Logging_2506/klagomålsmail/A 14684-2021 FSC-klagomål mail.docx", "A 14684-2021")</f>
        <v/>
      </c>
      <c r="X26">
        <f>HYPERLINK("https://klasma.github.io/Logging_2506/tillsyn/A 14684-2021 tillsynsbegäran.docx", "A 14684-2021")</f>
        <v/>
      </c>
      <c r="Y26">
        <f>HYPERLINK("https://klasma.github.io/Logging_2506/tillsynsmail/A 14684-2021 tillsynsbegäran mail.docx", "A 14684-2021")</f>
        <v/>
      </c>
      <c r="Z26">
        <f>HYPERLINK("https://klasma.github.io/Logging_2506/fåglar/A 14684-2021 prioriterade fågelarter.docx", "A 14684-2021")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45964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45964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17549-2023</t>
        </is>
      </c>
      <c r="B29" s="1" t="n">
        <v>45034</v>
      </c>
      <c r="C29" s="1" t="n">
        <v>45964</v>
      </c>
      <c r="D29" t="inlineStr">
        <is>
          <t>NORRBOTTENS LÄN</t>
        </is>
      </c>
      <c r="E29" t="inlineStr">
        <is>
          <t>ARJEPLOG</t>
        </is>
      </c>
      <c r="G29" t="n">
        <v>18.8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Tretåig hackspett</t>
        </is>
      </c>
      <c r="S29">
        <f>HYPERLINK("https://klasma.github.io/Logging_2506/artfynd/A 17549-2023 artfynd.xlsx", "A 17549-2023")</f>
        <v/>
      </c>
      <c r="T29">
        <f>HYPERLINK("https://klasma.github.io/Logging_2506/kartor/A 17549-2023 karta.png", "A 17549-2023")</f>
        <v/>
      </c>
      <c r="V29">
        <f>HYPERLINK("https://klasma.github.io/Logging_2506/klagomål/A 17549-2023 FSC-klagomål.docx", "A 17549-2023")</f>
        <v/>
      </c>
      <c r="W29">
        <f>HYPERLINK("https://klasma.github.io/Logging_2506/klagomålsmail/A 17549-2023 FSC-klagomål mail.docx", "A 17549-2023")</f>
        <v/>
      </c>
      <c r="X29">
        <f>HYPERLINK("https://klasma.github.io/Logging_2506/tillsyn/A 17549-2023 tillsynsbegäran.docx", "A 17549-2023")</f>
        <v/>
      </c>
      <c r="Y29">
        <f>HYPERLINK("https://klasma.github.io/Logging_2506/tillsynsmail/A 17549-2023 tillsynsbegäran mail.docx", "A 17549-2023")</f>
        <v/>
      </c>
      <c r="Z29">
        <f>HYPERLINK("https://klasma.github.io/Logging_2506/fåglar/A 17549-2023 prioriterade fågelarter.docx", "A 17549-2023")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45964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45964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45964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45964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45964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45964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45964</v>
      </c>
      <c r="D36" t="inlineStr">
        <is>
          <t>NORRBOTTENS LÄN</t>
        </is>
      </c>
      <c r="E36" t="inlineStr">
        <is>
          <t>ARJEPLOG</t>
        </is>
      </c>
      <c r="G36" t="n">
        <v>21.6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45964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61050-2020</t>
        </is>
      </c>
      <c r="B38" s="1" t="n">
        <v>44154</v>
      </c>
      <c r="C38" s="1" t="n">
        <v>45964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17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66844-2021</t>
        </is>
      </c>
      <c r="B39" s="1" t="n">
        <v>44520</v>
      </c>
      <c r="C39" s="1" t="n">
        <v>45964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45964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45964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45964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45964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45964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45964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45964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45964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64857-2020</t>
        </is>
      </c>
      <c r="B48" s="1" t="n">
        <v>44171</v>
      </c>
      <c r="C48" s="1" t="n">
        <v>45964</v>
      </c>
      <c r="D48" t="inlineStr">
        <is>
          <t>NORRBOTTENS LÄN</t>
        </is>
      </c>
      <c r="E48" t="inlineStr">
        <is>
          <t>ARJEPLOG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41799-2021</t>
        </is>
      </c>
      <c r="B49" s="1" t="n">
        <v>44425</v>
      </c>
      <c r="C49" s="1" t="n">
        <v>45964</v>
      </c>
      <c r="D49" t="inlineStr">
        <is>
          <t>NORRBOTTENS LÄN</t>
        </is>
      </c>
      <c r="E49" t="inlineStr">
        <is>
          <t>ARJEPLOG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45964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19620-2022</t>
        </is>
      </c>
      <c r="B51" s="1" t="n">
        <v>44694</v>
      </c>
      <c r="C51" s="1" t="n">
        <v>45964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58879-2021</t>
        </is>
      </c>
      <c r="B52" s="1" t="n">
        <v>44489</v>
      </c>
      <c r="C52" s="1" t="n">
        <v>45964</v>
      </c>
      <c r="D52" t="inlineStr">
        <is>
          <t>NORRBOTTENS LÄN</t>
        </is>
      </c>
      <c r="E52" t="inlineStr">
        <is>
          <t>ARJEPLOG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8727-2021</t>
        </is>
      </c>
      <c r="B53" s="1" t="n">
        <v>44246</v>
      </c>
      <c r="C53" s="1" t="n">
        <v>45964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45964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64837-2023</t>
        </is>
      </c>
      <c r="B55" s="1" t="n">
        <v>45281</v>
      </c>
      <c r="C55" s="1" t="n">
        <v>45964</v>
      </c>
      <c r="D55" t="inlineStr">
        <is>
          <t>NORRBOTTENS LÄN</t>
        </is>
      </c>
      <c r="E55" t="inlineStr">
        <is>
          <t>ARJEPLOG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64840-2023</t>
        </is>
      </c>
      <c r="B56" s="1" t="n">
        <v>45281</v>
      </c>
      <c r="C56" s="1" t="n">
        <v>45964</v>
      </c>
      <c r="D56" t="inlineStr">
        <is>
          <t>NORRBOTTENS LÄN</t>
        </is>
      </c>
      <c r="E56" t="inlineStr">
        <is>
          <t>ARJEPLOG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53822-2024</t>
        </is>
      </c>
      <c r="B57" s="1" t="n">
        <v>45614</v>
      </c>
      <c r="C57" s="1" t="n">
        <v>45964</v>
      </c>
      <c r="D57" t="inlineStr">
        <is>
          <t>NORRBOTTENS LÄN</t>
        </is>
      </c>
      <c r="E57" t="inlineStr">
        <is>
          <t>ARJEPLOG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41061-2024</t>
        </is>
      </c>
      <c r="B58" s="1" t="n">
        <v>45558</v>
      </c>
      <c r="C58" s="1" t="n">
        <v>45964</v>
      </c>
      <c r="D58" t="inlineStr">
        <is>
          <t>NORRBOTTENS LÄN</t>
        </is>
      </c>
      <c r="E58" t="inlineStr">
        <is>
          <t>ARJEPLOG</t>
        </is>
      </c>
      <c r="G58" t="n">
        <v>23.1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25270-2023</t>
        </is>
      </c>
      <c r="B59" s="1" t="n">
        <v>45079</v>
      </c>
      <c r="C59" s="1" t="n">
        <v>45964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29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56785-2024</t>
        </is>
      </c>
      <c r="B60" s="1" t="n">
        <v>45625</v>
      </c>
      <c r="C60" s="1" t="n">
        <v>45964</v>
      </c>
      <c r="D60" t="inlineStr">
        <is>
          <t>NORRBOTTENS LÄN</t>
        </is>
      </c>
      <c r="E60" t="inlineStr">
        <is>
          <t>ARJEPLOG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64816-2023</t>
        </is>
      </c>
      <c r="B61" s="1" t="n">
        <v>45281</v>
      </c>
      <c r="C61" s="1" t="n">
        <v>45964</v>
      </c>
      <c r="D61" t="inlineStr">
        <is>
          <t>NORRBOTTENS LÄN</t>
        </is>
      </c>
      <c r="E61" t="inlineStr">
        <is>
          <t>ARJEPLOG</t>
        </is>
      </c>
      <c r="G61" t="n">
        <v>13.4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25239-2023</t>
        </is>
      </c>
      <c r="B62" s="1" t="n">
        <v>45079</v>
      </c>
      <c r="C62" s="1" t="n">
        <v>45964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14375-2021</t>
        </is>
      </c>
      <c r="B63" s="1" t="n">
        <v>44279</v>
      </c>
      <c r="C63" s="1" t="n">
        <v>45964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60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28354-2022</t>
        </is>
      </c>
      <c r="B64" s="1" t="n">
        <v>44735</v>
      </c>
      <c r="C64" s="1" t="n">
        <v>45964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46910-2024</t>
        </is>
      </c>
      <c r="B65" s="1" t="n">
        <v>45583</v>
      </c>
      <c r="C65" s="1" t="n">
        <v>45964</v>
      </c>
      <c r="D65" t="inlineStr">
        <is>
          <t>NORRBOTTENS LÄN</t>
        </is>
      </c>
      <c r="E65" t="inlineStr">
        <is>
          <t>ARJEPLOG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56800-2024</t>
        </is>
      </c>
      <c r="B66" s="1" t="n">
        <v>45625</v>
      </c>
      <c r="C66" s="1" t="n">
        <v>45964</v>
      </c>
      <c r="D66" t="inlineStr">
        <is>
          <t>NORRBOTTENS LÄN</t>
        </is>
      </c>
      <c r="E66" t="inlineStr">
        <is>
          <t>ARJEPLOG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55266-2024</t>
        </is>
      </c>
      <c r="B67" s="1" t="n">
        <v>45621</v>
      </c>
      <c r="C67" s="1" t="n">
        <v>45964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55124-2024</t>
        </is>
      </c>
      <c r="B68" s="1" t="n">
        <v>45618</v>
      </c>
      <c r="C68" s="1" t="n">
        <v>45964</v>
      </c>
      <c r="D68" t="inlineStr">
        <is>
          <t>NORRBOTTENS LÄN</t>
        </is>
      </c>
      <c r="E68" t="inlineStr">
        <is>
          <t>ARJEPLOG</t>
        </is>
      </c>
      <c r="G68" t="n">
        <v>18.3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55422-2021</t>
        </is>
      </c>
      <c r="B69" s="1" t="n">
        <v>44475</v>
      </c>
      <c r="C69" s="1" t="n">
        <v>45964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45964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73880-2021</t>
        </is>
      </c>
      <c r="B71" s="1" t="n">
        <v>44552</v>
      </c>
      <c r="C71" s="1" t="n">
        <v>45964</v>
      </c>
      <c r="D71" t="inlineStr">
        <is>
          <t>NORRBOTTENS LÄN</t>
        </is>
      </c>
      <c r="E71" t="inlineStr">
        <is>
          <t>ARJEPLOG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26472-2024</t>
        </is>
      </c>
      <c r="B72" s="1" t="n">
        <v>45469</v>
      </c>
      <c r="C72" s="1" t="n">
        <v>45964</v>
      </c>
      <c r="D72" t="inlineStr">
        <is>
          <t>NORRBOTTENS LÄN</t>
        </is>
      </c>
      <c r="E72" t="inlineStr">
        <is>
          <t>ARJEPLOG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26486-2024</t>
        </is>
      </c>
      <c r="B73" s="1" t="n">
        <v>45469</v>
      </c>
      <c r="C73" s="1" t="n">
        <v>45964</v>
      </c>
      <c r="D73" t="inlineStr">
        <is>
          <t>NORRBOTTENS LÄN</t>
        </is>
      </c>
      <c r="E73" t="inlineStr">
        <is>
          <t>ARJEPLOG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45072-2023</t>
        </is>
      </c>
      <c r="B74" s="1" t="n">
        <v>45187</v>
      </c>
      <c r="C74" s="1" t="n">
        <v>45964</v>
      </c>
      <c r="D74" t="inlineStr">
        <is>
          <t>NORRBOTTENS LÄN</t>
        </is>
      </c>
      <c r="E74" t="inlineStr">
        <is>
          <t>ARJEPLOG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56794-2024</t>
        </is>
      </c>
      <c r="B75" s="1" t="n">
        <v>45625</v>
      </c>
      <c r="C75" s="1" t="n">
        <v>45964</v>
      </c>
      <c r="D75" t="inlineStr">
        <is>
          <t>NORRBOTTENS LÄN</t>
        </is>
      </c>
      <c r="E75" t="inlineStr">
        <is>
          <t>ARJEPLOG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56782-2024</t>
        </is>
      </c>
      <c r="B76" s="1" t="n">
        <v>45625</v>
      </c>
      <c r="C76" s="1" t="n">
        <v>45964</v>
      </c>
      <c r="D76" t="inlineStr">
        <is>
          <t>NORRBOTTENS LÄN</t>
        </is>
      </c>
      <c r="E76" t="inlineStr">
        <is>
          <t>ARJEPLOG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44218-2023</t>
        </is>
      </c>
      <c r="B77" s="1" t="n">
        <v>45183</v>
      </c>
      <c r="C77" s="1" t="n">
        <v>45964</v>
      </c>
      <c r="D77" t="inlineStr">
        <is>
          <t>NORRBOTTENS LÄN</t>
        </is>
      </c>
      <c r="E77" t="inlineStr">
        <is>
          <t>ARJEPLOG</t>
        </is>
      </c>
      <c r="F77" t="inlineStr">
        <is>
          <t>Allmännings- och besparingsskogar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42274-2022</t>
        </is>
      </c>
      <c r="B78" s="1" t="n">
        <v>44830</v>
      </c>
      <c r="C78" s="1" t="n">
        <v>45964</v>
      </c>
      <c r="D78" t="inlineStr">
        <is>
          <t>NORRBOTTENS LÄN</t>
        </is>
      </c>
      <c r="E78" t="inlineStr">
        <is>
          <t>ARJEPLOG</t>
        </is>
      </c>
      <c r="F78" t="inlineStr">
        <is>
          <t>SCA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48940-2023</t>
        </is>
      </c>
      <c r="B79" s="1" t="n">
        <v>45205</v>
      </c>
      <c r="C79" s="1" t="n">
        <v>45964</v>
      </c>
      <c r="D79" t="inlineStr">
        <is>
          <t>NORRBOTTENS LÄN</t>
        </is>
      </c>
      <c r="E79" t="inlineStr">
        <is>
          <t>ARJEPLOG</t>
        </is>
      </c>
      <c r="G79" t="n">
        <v>13.5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56754-2024</t>
        </is>
      </c>
      <c r="B80" s="1" t="n">
        <v>45625</v>
      </c>
      <c r="C80" s="1" t="n">
        <v>45964</v>
      </c>
      <c r="D80" t="inlineStr">
        <is>
          <t>NORRBOTTENS LÄN</t>
        </is>
      </c>
      <c r="E80" t="inlineStr">
        <is>
          <t>ARJEPLOG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30870-2023</t>
        </is>
      </c>
      <c r="B81" s="1" t="n">
        <v>45113</v>
      </c>
      <c r="C81" s="1" t="n">
        <v>45964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25.5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58370-2023</t>
        </is>
      </c>
      <c r="B82" s="1" t="n">
        <v>45250</v>
      </c>
      <c r="C82" s="1" t="n">
        <v>45964</v>
      </c>
      <c r="D82" t="inlineStr">
        <is>
          <t>NORRBOTTENS LÄN</t>
        </is>
      </c>
      <c r="E82" t="inlineStr">
        <is>
          <t>ARJEPLOG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61729-2024</t>
        </is>
      </c>
      <c r="B83" s="1" t="n">
        <v>45649</v>
      </c>
      <c r="C83" s="1" t="n">
        <v>45964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56276-2021</t>
        </is>
      </c>
      <c r="B84" s="1" t="n">
        <v>44479</v>
      </c>
      <c r="C84" s="1" t="n">
        <v>45964</v>
      </c>
      <c r="D84" t="inlineStr">
        <is>
          <t>NORRBOTTENS LÄN</t>
        </is>
      </c>
      <c r="E84" t="inlineStr">
        <is>
          <t>ARJEPLOG</t>
        </is>
      </c>
      <c r="G84" t="n">
        <v>19.8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64822-2023</t>
        </is>
      </c>
      <c r="B85" s="1" t="n">
        <v>45281</v>
      </c>
      <c r="C85" s="1" t="n">
        <v>45964</v>
      </c>
      <c r="D85" t="inlineStr">
        <is>
          <t>NORRBOTTENS LÄN</t>
        </is>
      </c>
      <c r="E85" t="inlineStr">
        <is>
          <t>ARJEPLOG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26811-2022</t>
        </is>
      </c>
      <c r="B86" s="1" t="n">
        <v>44735</v>
      </c>
      <c r="C86" s="1" t="n">
        <v>45964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13119-2025</t>
        </is>
      </c>
      <c r="B87" s="1" t="n">
        <v>45734</v>
      </c>
      <c r="C87" s="1" t="n">
        <v>45964</v>
      </c>
      <c r="D87" t="inlineStr">
        <is>
          <t>NORRBOTTENS LÄN</t>
        </is>
      </c>
      <c r="E87" t="inlineStr">
        <is>
          <t>ARJEPLOG</t>
        </is>
      </c>
      <c r="G87" t="n">
        <v>14.7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20905-2025</t>
        </is>
      </c>
      <c r="B88" s="1" t="n">
        <v>45777.40407407407</v>
      </c>
      <c r="C88" s="1" t="n">
        <v>45964</v>
      </c>
      <c r="D88" t="inlineStr">
        <is>
          <t>NORRBOTTENS LÄN</t>
        </is>
      </c>
      <c r="E88" t="inlineStr">
        <is>
          <t>ARJEPLOG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29649-2024</t>
        </is>
      </c>
      <c r="B89" s="1" t="n">
        <v>45484</v>
      </c>
      <c r="C89" s="1" t="n">
        <v>45964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17536-2023</t>
        </is>
      </c>
      <c r="B90" s="1" t="n">
        <v>45034</v>
      </c>
      <c r="C90" s="1" t="n">
        <v>45964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3006-2024</t>
        </is>
      </c>
      <c r="B91" s="1" t="n">
        <v>45315</v>
      </c>
      <c r="C91" s="1" t="n">
        <v>45964</v>
      </c>
      <c r="D91" t="inlineStr">
        <is>
          <t>NORRBOTTENS LÄN</t>
        </is>
      </c>
      <c r="E91" t="inlineStr">
        <is>
          <t>ARJEPLOG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45924-2023</t>
        </is>
      </c>
      <c r="B92" s="1" t="n">
        <v>45189</v>
      </c>
      <c r="C92" s="1" t="n">
        <v>45964</v>
      </c>
      <c r="D92" t="inlineStr">
        <is>
          <t>NORRBOTTENS LÄN</t>
        </is>
      </c>
      <c r="E92" t="inlineStr">
        <is>
          <t>ARJEPLOG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10825-2025</t>
        </is>
      </c>
      <c r="B93" s="1" t="n">
        <v>45722</v>
      </c>
      <c r="C93" s="1" t="n">
        <v>45964</v>
      </c>
      <c r="D93" t="inlineStr">
        <is>
          <t>NORRBOTTENS LÄN</t>
        </is>
      </c>
      <c r="E93" t="inlineStr">
        <is>
          <t>ARJEPLOG</t>
        </is>
      </c>
      <c r="G93" t="n">
        <v>14.1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526-2025</t>
        </is>
      </c>
      <c r="B94" s="1" t="n">
        <v>45664</v>
      </c>
      <c r="C94" s="1" t="n">
        <v>45964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25928-2024</t>
        </is>
      </c>
      <c r="B95" s="1" t="n">
        <v>45467</v>
      </c>
      <c r="C95" s="1" t="n">
        <v>45964</v>
      </c>
      <c r="D95" t="inlineStr">
        <is>
          <t>NORRBOTTENS LÄN</t>
        </is>
      </c>
      <c r="E95" t="inlineStr">
        <is>
          <t>ARJEPLOG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23949-2024</t>
        </is>
      </c>
      <c r="B96" s="1" t="n">
        <v>45455</v>
      </c>
      <c r="C96" s="1" t="n">
        <v>45964</v>
      </c>
      <c r="D96" t="inlineStr">
        <is>
          <t>NORRBOTTENS LÄN</t>
        </is>
      </c>
      <c r="E96" t="inlineStr">
        <is>
          <t>ARJEPLOG</t>
        </is>
      </c>
      <c r="F96" t="inlineStr">
        <is>
          <t>SCA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62801-2023</t>
        </is>
      </c>
      <c r="B97" s="1" t="n">
        <v>45268</v>
      </c>
      <c r="C97" s="1" t="n">
        <v>45964</v>
      </c>
      <c r="D97" t="inlineStr">
        <is>
          <t>NORRBOTTENS LÄN</t>
        </is>
      </c>
      <c r="E97" t="inlineStr">
        <is>
          <t>ARJEPLOG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43045-2022</t>
        </is>
      </c>
      <c r="B98" s="1" t="n">
        <v>44833</v>
      </c>
      <c r="C98" s="1" t="n">
        <v>45964</v>
      </c>
      <c r="D98" t="inlineStr">
        <is>
          <t>NORRBOTTENS LÄN</t>
        </is>
      </c>
      <c r="E98" t="inlineStr">
        <is>
          <t>ARJEPLOG</t>
        </is>
      </c>
      <c r="G98" t="n">
        <v>24.6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64809-2023</t>
        </is>
      </c>
      <c r="B99" s="1" t="n">
        <v>45281</v>
      </c>
      <c r="C99" s="1" t="n">
        <v>45964</v>
      </c>
      <c r="D99" t="inlineStr">
        <is>
          <t>NORRBOTTENS LÄN</t>
        </is>
      </c>
      <c r="E99" t="inlineStr">
        <is>
          <t>ARJEPLOG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64826-2023</t>
        </is>
      </c>
      <c r="B100" s="1" t="n">
        <v>45281</v>
      </c>
      <c r="C100" s="1" t="n">
        <v>45964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43045-2022</t>
        </is>
      </c>
      <c r="B101" s="1" t="n">
        <v>44833</v>
      </c>
      <c r="C101" s="1" t="n">
        <v>45964</v>
      </c>
      <c r="D101" t="inlineStr">
        <is>
          <t>NORRBOTTENS LÄN</t>
        </is>
      </c>
      <c r="E101" t="inlineStr">
        <is>
          <t>ARJEPLOG</t>
        </is>
      </c>
      <c r="G101" t="n">
        <v>23.2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46585-2021</t>
        </is>
      </c>
      <c r="B102" s="1" t="n">
        <v>44445</v>
      </c>
      <c r="C102" s="1" t="n">
        <v>45964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11.1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26470-2024</t>
        </is>
      </c>
      <c r="B103" s="1" t="n">
        <v>45468</v>
      </c>
      <c r="C103" s="1" t="n">
        <v>45964</v>
      </c>
      <c r="D103" t="inlineStr">
        <is>
          <t>NORRBOTTENS LÄN</t>
        </is>
      </c>
      <c r="E103" t="inlineStr">
        <is>
          <t>ARJEPLOG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48376-2023</t>
        </is>
      </c>
      <c r="B104" s="1" t="n">
        <v>45205</v>
      </c>
      <c r="C104" s="1" t="n">
        <v>45964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Aktiebolag</t>
        </is>
      </c>
      <c r="G104" t="n">
        <v>18.3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52581-2022</t>
        </is>
      </c>
      <c r="B105" s="1" t="n">
        <v>44874</v>
      </c>
      <c r="C105" s="1" t="n">
        <v>45964</v>
      </c>
      <c r="D105" t="inlineStr">
        <is>
          <t>NORRBOTTENS LÄN</t>
        </is>
      </c>
      <c r="E105" t="inlineStr">
        <is>
          <t>ARJEPLOG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25440-2024</t>
        </is>
      </c>
      <c r="B106" s="1" t="n">
        <v>45463</v>
      </c>
      <c r="C106" s="1" t="n">
        <v>45964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30.7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29667-2025</t>
        </is>
      </c>
      <c r="B107" s="1" t="n">
        <v>45825</v>
      </c>
      <c r="C107" s="1" t="n">
        <v>45964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26103-2024</t>
        </is>
      </c>
      <c r="B108" s="1" t="n">
        <v>45467</v>
      </c>
      <c r="C108" s="1" t="n">
        <v>45964</v>
      </c>
      <c r="D108" t="inlineStr">
        <is>
          <t>NORRBOTTENS LÄN</t>
        </is>
      </c>
      <c r="E108" t="inlineStr">
        <is>
          <t>ARJEPLOG</t>
        </is>
      </c>
      <c r="G108" t="n">
        <v>17.2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54589-2021</t>
        </is>
      </c>
      <c r="B109" s="1" t="n">
        <v>44473</v>
      </c>
      <c r="C109" s="1" t="n">
        <v>45964</v>
      </c>
      <c r="D109" t="inlineStr">
        <is>
          <t>NORRBOTTENS LÄN</t>
        </is>
      </c>
      <c r="E109" t="inlineStr">
        <is>
          <t>ARJEPLOG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12447-2025</t>
        </is>
      </c>
      <c r="B110" s="1" t="n">
        <v>45730.48715277778</v>
      </c>
      <c r="C110" s="1" t="n">
        <v>45964</v>
      </c>
      <c r="D110" t="inlineStr">
        <is>
          <t>NORRBOTTENS LÄN</t>
        </is>
      </c>
      <c r="E110" t="inlineStr">
        <is>
          <t>ARJEPLOG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45964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64832-2023</t>
        </is>
      </c>
      <c r="B112" s="1" t="n">
        <v>45281</v>
      </c>
      <c r="C112" s="1" t="n">
        <v>45964</v>
      </c>
      <c r="D112" t="inlineStr">
        <is>
          <t>NORRBOTTENS LÄN</t>
        </is>
      </c>
      <c r="E112" t="inlineStr">
        <is>
          <t>ARJEPLOG</t>
        </is>
      </c>
      <c r="G112" t="n">
        <v>43.6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31104-2025</t>
        </is>
      </c>
      <c r="B113" s="1" t="n">
        <v>45832.60090277778</v>
      </c>
      <c r="C113" s="1" t="n">
        <v>45964</v>
      </c>
      <c r="D113" t="inlineStr">
        <is>
          <t>NORRBOTTENS LÄN</t>
        </is>
      </c>
      <c r="E113" t="inlineStr">
        <is>
          <t>ARJEPLOG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25559-2022</t>
        </is>
      </c>
      <c r="B114" s="1" t="n">
        <v>44732</v>
      </c>
      <c r="C114" s="1" t="n">
        <v>45964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39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20789-2022</t>
        </is>
      </c>
      <c r="B115" s="1" t="n">
        <v>44701</v>
      </c>
      <c r="C115" s="1" t="n">
        <v>45964</v>
      </c>
      <c r="D115" t="inlineStr">
        <is>
          <t>NORRBOTTENS LÄN</t>
        </is>
      </c>
      <c r="E115" t="inlineStr">
        <is>
          <t>ARJEPLOG</t>
        </is>
      </c>
      <c r="G115" t="n">
        <v>20.3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26479-2024</t>
        </is>
      </c>
      <c r="B116" s="1" t="n">
        <v>45468</v>
      </c>
      <c r="C116" s="1" t="n">
        <v>45964</v>
      </c>
      <c r="D116" t="inlineStr">
        <is>
          <t>NORRBOTTENS LÄN</t>
        </is>
      </c>
      <c r="E116" t="inlineStr">
        <is>
          <t>ARJEPLOG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12409-2025</t>
        </is>
      </c>
      <c r="B117" s="1" t="n">
        <v>45730.43366898148</v>
      </c>
      <c r="C117" s="1" t="n">
        <v>45964</v>
      </c>
      <c r="D117" t="inlineStr">
        <is>
          <t>NORRBOTTENS LÄN</t>
        </is>
      </c>
      <c r="E117" t="inlineStr">
        <is>
          <t>ARJEPLOG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26773-2022</t>
        </is>
      </c>
      <c r="B118" s="1" t="n">
        <v>44732</v>
      </c>
      <c r="C118" s="1" t="n">
        <v>45964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34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30617-2025</t>
        </is>
      </c>
      <c r="B119" s="1" t="n">
        <v>45831</v>
      </c>
      <c r="C119" s="1" t="n">
        <v>45964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39.8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30595-2025</t>
        </is>
      </c>
      <c r="B120" s="1" t="n">
        <v>45831</v>
      </c>
      <c r="C120" s="1" t="n">
        <v>45964</v>
      </c>
      <c r="D120" t="inlineStr">
        <is>
          <t>NORRBOTTENS LÄN</t>
        </is>
      </c>
      <c r="E120" t="inlineStr">
        <is>
          <t>ARJEPLOG</t>
        </is>
      </c>
      <c r="G120" t="n">
        <v>15.6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30606-2025</t>
        </is>
      </c>
      <c r="B121" s="1" t="n">
        <v>45831</v>
      </c>
      <c r="C121" s="1" t="n">
        <v>45964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70.40000000000001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29674-2025</t>
        </is>
      </c>
      <c r="B122" s="1" t="n">
        <v>45825</v>
      </c>
      <c r="C122" s="1" t="n">
        <v>45964</v>
      </c>
      <c r="D122" t="inlineStr">
        <is>
          <t>NORRBOTTENS LÄN</t>
        </is>
      </c>
      <c r="E122" t="inlineStr">
        <is>
          <t>ARJEPLOG</t>
        </is>
      </c>
      <c r="F122" t="inlineStr">
        <is>
          <t>Allmännings- och besparingsskogar</t>
        </is>
      </c>
      <c r="G122" t="n">
        <v>25.1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29662-2025</t>
        </is>
      </c>
      <c r="B123" s="1" t="n">
        <v>45825</v>
      </c>
      <c r="C123" s="1" t="n">
        <v>45964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23.7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38851-2025</t>
        </is>
      </c>
      <c r="B124" s="1" t="n">
        <v>45887.55271990741</v>
      </c>
      <c r="C124" s="1" t="n">
        <v>45964</v>
      </c>
      <c r="D124" t="inlineStr">
        <is>
          <t>NORRBOTTENS LÄN</t>
        </is>
      </c>
      <c r="E124" t="inlineStr">
        <is>
          <t>ARJEPLOG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36779-2025</t>
        </is>
      </c>
      <c r="B125" s="1" t="n">
        <v>45873</v>
      </c>
      <c r="C125" s="1" t="n">
        <v>45964</v>
      </c>
      <c r="D125" t="inlineStr">
        <is>
          <t>NORRBOTTENS LÄN</t>
        </is>
      </c>
      <c r="E125" t="inlineStr">
        <is>
          <t>ARJEPLOG</t>
        </is>
      </c>
      <c r="G125" t="n">
        <v>17.2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37442-2025</t>
        </is>
      </c>
      <c r="B126" s="1" t="n">
        <v>45877.54096064815</v>
      </c>
      <c r="C126" s="1" t="n">
        <v>45964</v>
      </c>
      <c r="D126" t="inlineStr">
        <is>
          <t>NORRBOTTENS LÄN</t>
        </is>
      </c>
      <c r="E126" t="inlineStr">
        <is>
          <t>ARJEPLOG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61272-2020</t>
        </is>
      </c>
      <c r="B127" s="1" t="n">
        <v>44154</v>
      </c>
      <c r="C127" s="1" t="n">
        <v>45964</v>
      </c>
      <c r="D127" t="inlineStr">
        <is>
          <t>NORRBOTTENS LÄN</t>
        </is>
      </c>
      <c r="E127" t="inlineStr">
        <is>
          <t>ARJEPLOG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46747-2025</t>
        </is>
      </c>
      <c r="B128" s="1" t="n">
        <v>45926</v>
      </c>
      <c r="C128" s="1" t="n">
        <v>45964</v>
      </c>
      <c r="D128" t="inlineStr">
        <is>
          <t>NORRBOTTENS LÄN</t>
        </is>
      </c>
      <c r="E128" t="inlineStr">
        <is>
          <t>ARJEPLOG</t>
        </is>
      </c>
      <c r="G128" t="n">
        <v>19.7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35194-2024</t>
        </is>
      </c>
      <c r="B129" s="1" t="n">
        <v>45530</v>
      </c>
      <c r="C129" s="1" t="n">
        <v>45964</v>
      </c>
      <c r="D129" t="inlineStr">
        <is>
          <t>NORRBOTTENS LÄN</t>
        </is>
      </c>
      <c r="E129" t="inlineStr">
        <is>
          <t>ARJEPLOG</t>
        </is>
      </c>
      <c r="G129" t="n">
        <v>20.1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48992-2025</t>
        </is>
      </c>
      <c r="B130" s="1" t="n">
        <v>45937.58351851852</v>
      </c>
      <c r="C130" s="1" t="n">
        <v>45964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48987-2025</t>
        </is>
      </c>
      <c r="B131" s="1" t="n">
        <v>45937.5759837963</v>
      </c>
      <c r="C131" s="1" t="n">
        <v>45964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35627-2025</t>
        </is>
      </c>
      <c r="B132" s="1" t="n">
        <v>45859</v>
      </c>
      <c r="C132" s="1" t="n">
        <v>45964</v>
      </c>
      <c r="D132" t="inlineStr">
        <is>
          <t>NORRBOTTENS LÄN</t>
        </is>
      </c>
      <c r="E132" t="inlineStr">
        <is>
          <t>ARJEPLOG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36623-2023</t>
        </is>
      </c>
      <c r="B133" s="1" t="n">
        <v>45153</v>
      </c>
      <c r="C133" s="1" t="n">
        <v>45964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16.9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50255-2023</t>
        </is>
      </c>
      <c r="B134" s="1" t="n">
        <v>45216</v>
      </c>
      <c r="C134" s="1" t="n">
        <v>45964</v>
      </c>
      <c r="D134" t="inlineStr">
        <is>
          <t>NORRBOTTENS LÄN</t>
        </is>
      </c>
      <c r="E134" t="inlineStr">
        <is>
          <t>ARJEPLOG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58989-2024</t>
        </is>
      </c>
      <c r="B135" s="1" t="n">
        <v>45636</v>
      </c>
      <c r="C135" s="1" t="n">
        <v>45964</v>
      </c>
      <c r="D135" t="inlineStr">
        <is>
          <t>NORRBOTTENS LÄN</t>
        </is>
      </c>
      <c r="E135" t="inlineStr">
        <is>
          <t>ARJEPLOG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42518-2025</t>
        </is>
      </c>
      <c r="B136" s="1" t="n">
        <v>45905</v>
      </c>
      <c r="C136" s="1" t="n">
        <v>45964</v>
      </c>
      <c r="D136" t="inlineStr">
        <is>
          <t>NORRBOTTENS LÄN</t>
        </is>
      </c>
      <c r="E136" t="inlineStr">
        <is>
          <t>ARJEPLOG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42325-2025</t>
        </is>
      </c>
      <c r="B137" s="1" t="n">
        <v>45903</v>
      </c>
      <c r="C137" s="1" t="n">
        <v>45964</v>
      </c>
      <c r="D137" t="inlineStr">
        <is>
          <t>NORRBOTTENS LÄN</t>
        </is>
      </c>
      <c r="E137" t="inlineStr">
        <is>
          <t>ARJEPLOG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42331-2025</t>
        </is>
      </c>
      <c r="B138" s="1" t="n">
        <v>45903</v>
      </c>
      <c r="C138" s="1" t="n">
        <v>45964</v>
      </c>
      <c r="D138" t="inlineStr">
        <is>
          <t>NORRBOTTENS LÄN</t>
        </is>
      </c>
      <c r="E138" t="inlineStr">
        <is>
          <t>ARJEPLOG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42597-2025</t>
        </is>
      </c>
      <c r="B139" s="1" t="n">
        <v>45905</v>
      </c>
      <c r="C139" s="1" t="n">
        <v>45964</v>
      </c>
      <c r="D139" t="inlineStr">
        <is>
          <t>NORRBOTTENS LÄN</t>
        </is>
      </c>
      <c r="E139" t="inlineStr">
        <is>
          <t>ARJEPLOG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42526-2025</t>
        </is>
      </c>
      <c r="B140" s="1" t="n">
        <v>45905</v>
      </c>
      <c r="C140" s="1" t="n">
        <v>45964</v>
      </c>
      <c r="D140" t="inlineStr">
        <is>
          <t>NORRBOTTENS LÄN</t>
        </is>
      </c>
      <c r="E140" t="inlineStr">
        <is>
          <t>ARJEPLOG</t>
        </is>
      </c>
      <c r="G140" t="n">
        <v>12.5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53246-2025</t>
        </is>
      </c>
      <c r="B141" s="1" t="n">
        <v>45958.64807870371</v>
      </c>
      <c r="C141" s="1" t="n">
        <v>45964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36.7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44943-2025</t>
        </is>
      </c>
      <c r="B142" s="1" t="n">
        <v>45918</v>
      </c>
      <c r="C142" s="1" t="n">
        <v>45964</v>
      </c>
      <c r="D142" t="inlineStr">
        <is>
          <t>NORRBOTTENS LÄN</t>
        </is>
      </c>
      <c r="E142" t="inlineStr">
        <is>
          <t>ARJEPLOG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2025-11-03T10:04:30Z</dcterms:created>
  <dcterms:modified xmlns:dcterms="http://purl.org/dc/terms/" xmlns:xsi="http://www.w3.org/2001/XMLSchema-instance" xsi:type="dcterms:W3CDTF">2025-11-03T10:04:30Z</dcterms:modified>
</cp:coreProperties>
</file>