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26089-2024</t>
        </is>
      </c>
      <c r="B2" t="inlineStr">
        <is>
          <t>avverkningsanmälan</t>
        </is>
      </c>
      <c r="C2" t="inlineStr">
        <is>
          <t>Föryngringsavverkning</t>
        </is>
      </c>
      <c r="D2" s="1" t="n">
        <v>45467</v>
      </c>
      <c r="E2" s="1" t="n">
        <v>46229</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294</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HYPERLINK("https://klasma.github.io/Logging_2506/artfynd/A 26089-2024 artfynd.xlsx", "A 26089-2024")</f>
        <v/>
      </c>
      <c r="X2">
        <f>HYPERLINK("https://klasma.github.io/Logging_2506/kartor/A 26089-2024 karta.png", "A 26089-2024")</f>
        <v/>
      </c>
      <c r="Y2">
        <f>HYPERLINK("https://klasma.github.io/Logging_2506/kartor_geotiff/A 26089-2024 georefererad karta.tif", "A 26089-2024")</f>
        <v/>
      </c>
      <c r="AA2">
        <f>HYPERLINK("https://klasma.github.io/Logging_2506/klagomål/A 26089-2024 FSC-klagomål.docx", "A 26089-2024")</f>
        <v/>
      </c>
      <c r="AB2">
        <f>HYPERLINK("https://klasma.github.io/Logging_2506/klagomålsmail/A 26089-2024 FSC-klagomål mail.docx", "A 26089-2024")</f>
        <v/>
      </c>
      <c r="AC2">
        <f>HYPERLINK("https://klasma.github.io/Logging_2506/tillsyn/A 26089-2024 tillsynsbegäran.docx", "A 26089-2024")</f>
        <v/>
      </c>
      <c r="AD2">
        <f>HYPERLINK("https://klasma.github.io/Logging_2506/tillsynsmail/A 26089-2024 tillsynsbegäran mail.docx", "A 26089-2024")</f>
        <v/>
      </c>
      <c r="AE2">
        <f>HYPERLINK("https://klasma.github.io/Logging_2506/fåglar/A 26089-2024 prioriterade fågelarter.docx", "A 26089-2024")</f>
        <v/>
      </c>
    </row>
    <row r="3" ht="15" customHeight="1">
      <c r="A3" t="inlineStr">
        <is>
          <t>A 30606-2025</t>
        </is>
      </c>
      <c r="B3" t="inlineStr">
        <is>
          <t>avverkningsanmälan</t>
        </is>
      </c>
      <c r="C3" t="inlineStr">
        <is>
          <t>Föryngringsavverkning</t>
        </is>
      </c>
      <c r="D3" s="1" t="n">
        <v>45831</v>
      </c>
      <c r="E3" s="1" t="n">
        <v>46229</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HYPERLINK("https://klasma.github.io/Logging_2506/artfynd/A 30606-2025 artfynd.xlsx", "A 30606-2025")</f>
        <v/>
      </c>
      <c r="X3">
        <f>HYPERLINK("https://klasma.github.io/Logging_2506/kartor/A 30606-2025 karta.png", "A 30606-2025")</f>
        <v/>
      </c>
      <c r="Y3">
        <f>HYPERLINK("https://klasma.github.io/Logging_2506/kartor_geotiff/A 30606-2025 georefererad karta.tif", "A 30606-2025")</f>
        <v/>
      </c>
      <c r="Z3">
        <f>HYPERLINK("https://klasma.github.io/Logging_2506/knärot/A 30606-2025 karta knärot.png", "A 30606-2025")</f>
        <v/>
      </c>
      <c r="AA3">
        <f>HYPERLINK("https://klasma.github.io/Logging_2506/klagomål/A 30606-2025 FSC-klagomål.docx", "A 30606-2025")</f>
        <v/>
      </c>
      <c r="AB3">
        <f>HYPERLINK("https://klasma.github.io/Logging_2506/klagomålsmail/A 30606-2025 FSC-klagomål mail.docx", "A 30606-2025")</f>
        <v/>
      </c>
      <c r="AC3">
        <f>HYPERLINK("https://klasma.github.io/Logging_2506/tillsyn/A 30606-2025 tillsynsbegäran.docx", "A 30606-2025")</f>
        <v/>
      </c>
      <c r="AD3">
        <f>HYPERLINK("https://klasma.github.io/Logging_2506/tillsynsmail/A 30606-2025 tillsynsbegäran mail.docx", "A 30606-2025")</f>
        <v/>
      </c>
      <c r="AE3">
        <f>HYPERLINK("https://klasma.github.io/Logging_2506/fåglar/A 30606-2025 prioriterade fågelarter.docx", "A 30606-2025")</f>
        <v/>
      </c>
    </row>
    <row r="4" ht="15" customHeight="1">
      <c r="A4" t="inlineStr">
        <is>
          <t>A 73880-2021</t>
        </is>
      </c>
      <c r="B4" t="inlineStr">
        <is>
          <t>avverkningsanmälan</t>
        </is>
      </c>
      <c r="C4" t="inlineStr">
        <is>
          <t>Föryngringsavverkning</t>
        </is>
      </c>
      <c r="D4" s="1" t="n">
        <v>44552</v>
      </c>
      <c r="E4" s="1" t="n">
        <v>46229</v>
      </c>
      <c r="F4" t="inlineStr">
        <is>
          <t>NORRBOTTENS LÄN</t>
        </is>
      </c>
      <c r="G4" t="inlineStr">
        <is>
          <t>ARJEPLOG</t>
        </is>
      </c>
      <c r="I4" t="n">
        <v>11.2</v>
      </c>
      <c r="J4" t="n">
        <v>8</v>
      </c>
      <c r="K4" t="n">
        <v>8</v>
      </c>
      <c r="L4" t="n">
        <v>12</v>
      </c>
      <c r="M4" t="n">
        <v>7</v>
      </c>
      <c r="N4" t="n">
        <v>0</v>
      </c>
      <c r="O4" t="n">
        <v>0</v>
      </c>
      <c r="P4" t="n">
        <v>0</v>
      </c>
      <c r="Q4" t="n">
        <v>19</v>
      </c>
      <c r="R4" t="n">
        <v>7</v>
      </c>
      <c r="S4" t="n">
        <v>36</v>
      </c>
      <c r="T4" t="n">
        <v>167</v>
      </c>
      <c r="U4" t="n">
        <v>166</v>
      </c>
      <c r="V4" s="2" t="inlineStr">
        <is>
          <t>Bågknotterskinn
Garnlav
Grantickeporing
Gränsticka
Ostticka
Tajgaskinn
Vitskaftad svartspik
Brunpudrad nållav
Harticka
Koralltaggsvamp
Kötticka
Rosenticka
Rutspindling
Rynkskinn
Skrovellav
Talltita
Tretåig hackspett
Ullticka
Vitgrynig nållav
Blodticka
Finbräken
Korallrot
Spindelblomster
Stuplav
Tibast
Vedticka
Ögonpyrola
Hultbräken
Humleblomster
Kransmossa
Nordisk stormhatt
Torta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46229</v>
      </c>
      <c r="F5" t="inlineStr">
        <is>
          <t>NORRBOTTENS LÄN</t>
        </is>
      </c>
      <c r="G5" t="inlineStr">
        <is>
          <t>ARJEPLOG</t>
        </is>
      </c>
      <c r="I5" t="n">
        <v>12.9</v>
      </c>
      <c r="J5" t="n">
        <v>8</v>
      </c>
      <c r="K5" t="n">
        <v>11</v>
      </c>
      <c r="L5" t="n">
        <v>15</v>
      </c>
      <c r="M5" t="n">
        <v>8</v>
      </c>
      <c r="N5" t="n">
        <v>0</v>
      </c>
      <c r="O5" t="n">
        <v>0</v>
      </c>
      <c r="P5" t="n">
        <v>0</v>
      </c>
      <c r="Q5" t="n">
        <v>23</v>
      </c>
      <c r="R5" t="n">
        <v>8</v>
      </c>
      <c r="S5" t="n">
        <v>36</v>
      </c>
      <c r="T5" t="n">
        <v>254</v>
      </c>
      <c r="U5" t="n">
        <v>254</v>
      </c>
      <c r="V5"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45924-2023</t>
        </is>
      </c>
      <c r="B6" t="inlineStr">
        <is>
          <t>avverkningsanmälan</t>
        </is>
      </c>
      <c r="C6" t="inlineStr">
        <is>
          <t>Föryngringsavverkning</t>
        </is>
      </c>
      <c r="D6" s="1" t="n">
        <v>45189</v>
      </c>
      <c r="E6" s="1" t="n">
        <v>46229</v>
      </c>
      <c r="F6" t="inlineStr">
        <is>
          <t>NORRBOTTENS LÄN</t>
        </is>
      </c>
      <c r="G6" t="inlineStr">
        <is>
          <t>ARJEPLOG</t>
        </is>
      </c>
      <c r="I6" t="n">
        <v>11.2</v>
      </c>
      <c r="J6" t="n">
        <v>4</v>
      </c>
      <c r="K6" t="n">
        <v>6</v>
      </c>
      <c r="L6" t="n">
        <v>18</v>
      </c>
      <c r="M6" t="n">
        <v>8</v>
      </c>
      <c r="N6" t="n">
        <v>0</v>
      </c>
      <c r="O6" t="n">
        <v>0</v>
      </c>
      <c r="P6" t="n">
        <v>0</v>
      </c>
      <c r="Q6" t="n">
        <v>26</v>
      </c>
      <c r="R6" t="n">
        <v>8</v>
      </c>
      <c r="S6" t="n">
        <v>33</v>
      </c>
      <c r="T6" t="n">
        <v>133</v>
      </c>
      <c r="U6" t="n">
        <v>133</v>
      </c>
      <c r="V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6">
        <f>HYPERLINK("https://klasma.github.io/Logging_2506/artfynd/A 45924-2023 artfynd.xlsx", "A 45924-2023")</f>
        <v/>
      </c>
      <c r="X6">
        <f>HYPERLINK("https://klasma.github.io/Logging_2506/kartor/A 45924-2023 karta.png", "A 45924-2023")</f>
        <v/>
      </c>
      <c r="Y6">
        <f>HYPERLINK("https://klasma.github.io/Logging_2506/kartor_geotiff/A 45924-2023 georefererad karta.tif", "A 45924-2023")</f>
        <v/>
      </c>
      <c r="AA6">
        <f>HYPERLINK("https://klasma.github.io/Logging_2506/klagomål/A 45924-2023 FSC-klagomål.docx", "A 45924-2023")</f>
        <v/>
      </c>
      <c r="AB6">
        <f>HYPERLINK("https://klasma.github.io/Logging_2506/klagomålsmail/A 45924-2023 FSC-klagomål mail.docx", "A 45924-2023")</f>
        <v/>
      </c>
      <c r="AC6">
        <f>HYPERLINK("https://klasma.github.io/Logging_2506/tillsyn/A 45924-2023 tillsynsbegäran.docx", "A 45924-2023")</f>
        <v/>
      </c>
      <c r="AD6">
        <f>HYPERLINK("https://klasma.github.io/Logging_2506/tillsynsmail/A 45924-2023 tillsynsbegäran mail.docx", "A 45924-2023")</f>
        <v/>
      </c>
      <c r="AE6">
        <f>HYPERLINK("https://klasma.github.io/Logging_2506/fåglar/A 45924-2023 prioriterade fågelarter.docx", "A 45924-2023")</f>
        <v/>
      </c>
    </row>
    <row r="7" ht="15" customHeight="1">
      <c r="A7" t="inlineStr">
        <is>
          <t>A 64809-2023</t>
        </is>
      </c>
      <c r="B7" t="inlineStr">
        <is>
          <t>avverkningsanmälan</t>
        </is>
      </c>
      <c r="C7" t="inlineStr">
        <is>
          <t>Föryngringsavverkning</t>
        </is>
      </c>
      <c r="D7" s="1" t="n">
        <v>45281</v>
      </c>
      <c r="E7" s="1" t="n">
        <v>46229</v>
      </c>
      <c r="F7" t="inlineStr">
        <is>
          <t>NORRBOTTENS LÄN</t>
        </is>
      </c>
      <c r="G7" t="inlineStr">
        <is>
          <t>ARJEPLOG</t>
        </is>
      </c>
      <c r="I7" t="n">
        <v>17.8</v>
      </c>
      <c r="J7" t="n">
        <v>7</v>
      </c>
      <c r="K7" t="n">
        <v>10</v>
      </c>
      <c r="L7" t="n">
        <v>17</v>
      </c>
      <c r="M7" t="n">
        <v>3</v>
      </c>
      <c r="N7" t="n">
        <v>0</v>
      </c>
      <c r="O7" t="n">
        <v>0</v>
      </c>
      <c r="P7" t="n">
        <v>0</v>
      </c>
      <c r="Q7" t="n">
        <v>20</v>
      </c>
      <c r="R7" t="n">
        <v>3</v>
      </c>
      <c r="S7" t="n">
        <v>33</v>
      </c>
      <c r="T7" t="n">
        <v>100</v>
      </c>
      <c r="U7" t="n">
        <v>100</v>
      </c>
      <c r="V7"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7">
        <f>HYPERLINK("https://klasma.github.io/Logging_2506/artfynd/A 64809-2023 artfynd.xlsx", "A 64809-2023")</f>
        <v/>
      </c>
      <c r="X7">
        <f>HYPERLINK("https://klasma.github.io/Logging_2506/kartor/A 64809-2023 karta.png", "A 64809-2023")</f>
        <v/>
      </c>
      <c r="Y7">
        <f>HYPERLINK("https://klasma.github.io/Logging_2506/kartor_geotiff/A 64809-2023 georefererad karta.tif", "A 64809-2023")</f>
        <v/>
      </c>
      <c r="AA7">
        <f>HYPERLINK("https://klasma.github.io/Logging_2506/klagomål/A 64809-2023 FSC-klagomål.docx", "A 64809-2023")</f>
        <v/>
      </c>
      <c r="AB7">
        <f>HYPERLINK("https://klasma.github.io/Logging_2506/klagomålsmail/A 64809-2023 FSC-klagomål mail.docx", "A 64809-2023")</f>
        <v/>
      </c>
      <c r="AC7">
        <f>HYPERLINK("https://klasma.github.io/Logging_2506/tillsyn/A 64809-2023 tillsynsbegäran.docx", "A 64809-2023")</f>
        <v/>
      </c>
      <c r="AD7">
        <f>HYPERLINK("https://klasma.github.io/Logging_2506/tillsynsmail/A 64809-2023 tillsynsbegäran mail.docx", "A 64809-2023")</f>
        <v/>
      </c>
      <c r="AE7">
        <f>HYPERLINK("https://klasma.github.io/Logging_2506/fåglar/A 64809-2023 prioriterade fågelarter.docx", "A 64809-2023")</f>
        <v/>
      </c>
    </row>
    <row r="8" ht="15" customHeight="1">
      <c r="A8" t="inlineStr">
        <is>
          <t>A 29667-2025</t>
        </is>
      </c>
      <c r="B8" t="inlineStr">
        <is>
          <t>avverkningsanmälan</t>
        </is>
      </c>
      <c r="C8" t="inlineStr">
        <is>
          <t>Föryngringsavverkning</t>
        </is>
      </c>
      <c r="D8" s="1" t="n">
        <v>45825</v>
      </c>
      <c r="E8" s="1" t="n">
        <v>46229</v>
      </c>
      <c r="F8" t="inlineStr">
        <is>
          <t>NORRBOTTENS LÄN</t>
        </is>
      </c>
      <c r="G8" t="inlineStr">
        <is>
          <t>ARJEPLOG</t>
        </is>
      </c>
      <c r="H8" t="inlineStr">
        <is>
          <t>Allmännings- och besparingsskogar</t>
        </is>
      </c>
      <c r="I8" t="n">
        <v>20.1</v>
      </c>
      <c r="J8" t="n">
        <v>9</v>
      </c>
      <c r="K8" t="n">
        <v>8</v>
      </c>
      <c r="L8" t="n">
        <v>16</v>
      </c>
      <c r="M8" t="n">
        <v>6</v>
      </c>
      <c r="N8" t="n">
        <v>0</v>
      </c>
      <c r="O8" t="n">
        <v>0</v>
      </c>
      <c r="P8" t="n">
        <v>0</v>
      </c>
      <c r="Q8" t="n">
        <v>22</v>
      </c>
      <c r="R8" t="n">
        <v>6</v>
      </c>
      <c r="S8" t="n">
        <v>33</v>
      </c>
      <c r="T8" t="n">
        <v>260</v>
      </c>
      <c r="U8" t="n">
        <v>260</v>
      </c>
      <c r="V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8">
        <f>HYPERLINK("https://klasma.github.io/Logging_2506/artfynd/A 29667-2025 artfynd.xlsx", "A 29667-2025")</f>
        <v/>
      </c>
      <c r="X8">
        <f>HYPERLINK("https://klasma.github.io/Logging_2506/kartor/A 29667-2025 karta.png", "A 29667-2025")</f>
        <v/>
      </c>
      <c r="Y8">
        <f>HYPERLINK("https://klasma.github.io/Logging_2506/kartor_geotiff/A 29667-2025 georefererad karta.tif", "A 29667-2025")</f>
        <v/>
      </c>
      <c r="AA8">
        <f>HYPERLINK("https://klasma.github.io/Logging_2506/klagomål/A 29667-2025 FSC-klagomål.docx", "A 29667-2025")</f>
        <v/>
      </c>
      <c r="AB8">
        <f>HYPERLINK("https://klasma.github.io/Logging_2506/klagomålsmail/A 29667-2025 FSC-klagomål mail.docx", "A 29667-2025")</f>
        <v/>
      </c>
      <c r="AC8">
        <f>HYPERLINK("https://klasma.github.io/Logging_2506/tillsyn/A 29667-2025 tillsynsbegäran.docx", "A 29667-2025")</f>
        <v/>
      </c>
      <c r="AD8">
        <f>HYPERLINK("https://klasma.github.io/Logging_2506/tillsynsmail/A 29667-2025 tillsynsbegäran mail.docx", "A 29667-2025")</f>
        <v/>
      </c>
      <c r="AE8">
        <f>HYPERLINK("https://klasma.github.io/Logging_2506/fåglar/A 29667-2025 prioriterade fågelarter.docx", "A 29667-2025")</f>
        <v/>
      </c>
    </row>
    <row r="9" ht="15" customHeight="1">
      <c r="A9" t="inlineStr">
        <is>
          <t>A 30870-2023</t>
        </is>
      </c>
      <c r="B9" t="inlineStr">
        <is>
          <t>avverkningsanmälan</t>
        </is>
      </c>
      <c r="C9" t="inlineStr">
        <is>
          <t>Föryngringsavverkning</t>
        </is>
      </c>
      <c r="D9" s="1" t="n">
        <v>45113</v>
      </c>
      <c r="E9" s="1" t="n">
        <v>46229</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46229</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46229</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46229</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46229</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46229</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46229</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46229</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46229</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46229</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46229</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46229</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46229</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46229</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46229</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46229</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46229</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46229</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46229</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46229</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28351-2025</t>
        </is>
      </c>
      <c r="B29" t="inlineStr">
        <is>
          <t>avverkningsanmälan</t>
        </is>
      </c>
      <c r="C29" t="inlineStr">
        <is>
          <t>Föryngringsavverkning</t>
        </is>
      </c>
      <c r="D29" s="1" t="n">
        <v>45818</v>
      </c>
      <c r="E29" s="1" t="n">
        <v>46229</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4544-2024</t>
        </is>
      </c>
      <c r="B30" t="inlineStr">
        <is>
          <t>avverkningsanmälan</t>
        </is>
      </c>
      <c r="C30" t="inlineStr">
        <is>
          <t>Föryngringsavverkning</t>
        </is>
      </c>
      <c r="D30" s="1" t="n">
        <v>45327</v>
      </c>
      <c r="E30" s="1" t="n">
        <v>46229</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46229</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46229</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46229</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46229</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46229</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46229</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46229</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46229</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46229</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46229</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46229</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46229</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46229</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20905-2025</t>
        </is>
      </c>
      <c r="B44" t="inlineStr">
        <is>
          <t>avverkningsanmälan</t>
        </is>
      </c>
      <c r="C44" t="inlineStr">
        <is>
          <t>Föryngringsavverkning</t>
        </is>
      </c>
      <c r="D44" s="1" t="n">
        <v>45777</v>
      </c>
      <c r="E44" s="1" t="n">
        <v>46229</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46229</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46229</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46229</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46229</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46229</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46229</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46229</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46229</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46229</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46229</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46229</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46229</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46229</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46229</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46229</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46229</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46229</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55266-2024</t>
        </is>
      </c>
      <c r="B62" t="inlineStr">
        <is>
          <t>avverkningsanmälan</t>
        </is>
      </c>
      <c r="C62" t="inlineStr">
        <is>
          <t>Föryngringsavverkning</t>
        </is>
      </c>
      <c r="D62" s="1" t="n">
        <v>45621</v>
      </c>
      <c r="E62" s="1" t="n">
        <v>46229</v>
      </c>
      <c r="F62" t="inlineStr">
        <is>
          <t>NORRBOTTENS LÄN</t>
        </is>
      </c>
      <c r="G62" t="inlineStr">
        <is>
          <t>ARJEPLOG</t>
        </is>
      </c>
      <c r="I62" t="n">
        <v>11.3</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46229</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58370-2023</t>
        </is>
      </c>
      <c r="B64" t="inlineStr">
        <is>
          <t>avverkningsanmälan</t>
        </is>
      </c>
      <c r="C64" t="inlineStr">
        <is>
          <t>Avverkning för att bevara och utveckla /försöksver</t>
        </is>
      </c>
      <c r="D64" s="1" t="n">
        <v>45250</v>
      </c>
      <c r="E64" s="1" t="n">
        <v>46229</v>
      </c>
      <c r="F64" t="inlineStr">
        <is>
          <t>NORRBOTTENS LÄN</t>
        </is>
      </c>
      <c r="G64" t="inlineStr">
        <is>
          <t>ARJEPLOG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3006-2024</t>
        </is>
      </c>
      <c r="B65" t="inlineStr">
        <is>
          <t>avverkningsanmälan</t>
        </is>
      </c>
      <c r="C65" t="inlineStr">
        <is>
          <t>Föryngringsavverkning</t>
        </is>
      </c>
      <c r="D65" s="1" t="n">
        <v>45315</v>
      </c>
      <c r="E65" s="1" t="n">
        <v>46229</v>
      </c>
      <c r="F65" t="inlineStr">
        <is>
          <t>NORRBOTTENS LÄN</t>
        </is>
      </c>
      <c r="G65" t="inlineStr">
        <is>
          <t>ARJEPLOG</t>
        </is>
      </c>
      <c r="I65" t="n">
        <v>9.1</v>
      </c>
      <c r="J65" t="n">
        <v>0</v>
      </c>
      <c r="K65" t="n">
        <v>0</v>
      </c>
      <c r="L65" t="n">
        <v>0</v>
      </c>
      <c r="M65" t="n">
        <v>0</v>
      </c>
      <c r="N65" t="n">
        <v>0</v>
      </c>
      <c r="O65" t="n">
        <v>0</v>
      </c>
      <c r="P65" t="n">
        <v>0</v>
      </c>
      <c r="Q65" t="n">
        <v>0</v>
      </c>
      <c r="R65" t="n">
        <v>0</v>
      </c>
      <c r="S65" t="n">
        <v>0</v>
      </c>
      <c r="T65" t="n">
        <v>0</v>
      </c>
      <c r="U65" t="n">
        <v>0</v>
      </c>
      <c r="V65" s="2" t="inlineStr"/>
    </row>
    <row r="66" ht="15" customHeight="1">
      <c r="A66" t="inlineStr">
        <is>
          <t>A 526-2025</t>
        </is>
      </c>
      <c r="B66" t="inlineStr">
        <is>
          <t>avverkningsanmälan</t>
        </is>
      </c>
      <c r="C66" t="inlineStr">
        <is>
          <t>Avverkning för annat ändamål</t>
        </is>
      </c>
      <c r="D66" s="1" t="n">
        <v>45664</v>
      </c>
      <c r="E66" s="1" t="n">
        <v>46229</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23949-2024</t>
        </is>
      </c>
      <c r="B67" t="inlineStr">
        <is>
          <t>avverkningsanmälan</t>
        </is>
      </c>
      <c r="C67" t="inlineStr">
        <is>
          <t>Föryngringsavverkning</t>
        </is>
      </c>
      <c r="D67" s="1" t="n">
        <v>45455</v>
      </c>
      <c r="E67" s="1" t="n">
        <v>46229</v>
      </c>
      <c r="F67" t="inlineStr">
        <is>
          <t>NORRBOTTENS LÄN</t>
        </is>
      </c>
      <c r="G67" t="inlineStr">
        <is>
          <t>ARJEPLOG</t>
        </is>
      </c>
      <c r="H67" t="inlineStr">
        <is>
          <t>SCA</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54589-2021</t>
        </is>
      </c>
      <c r="B68" t="inlineStr">
        <is>
          <t>avverkningsanmälan</t>
        </is>
      </c>
      <c r="C68" t="inlineStr">
        <is>
          <t>Föryngringsavverkning</t>
        </is>
      </c>
      <c r="D68" s="1" t="n">
        <v>44473</v>
      </c>
      <c r="E68" s="1" t="n">
        <v>46229</v>
      </c>
      <c r="F68" t="inlineStr">
        <is>
          <t>NORRBOTTENS LÄN</t>
        </is>
      </c>
      <c r="G68" t="inlineStr">
        <is>
          <t>ARJEPLOG</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35627-2025</t>
        </is>
      </c>
      <c r="B69" t="inlineStr">
        <is>
          <t>avverkningsanmälan</t>
        </is>
      </c>
      <c r="C69" t="inlineStr">
        <is>
          <t>Föryngringsavverkning</t>
        </is>
      </c>
      <c r="D69" s="1" t="n">
        <v>45859</v>
      </c>
      <c r="E69" s="1" t="n">
        <v>46229</v>
      </c>
      <c r="F69" t="inlineStr">
        <is>
          <t>NORRBOTTENS LÄN</t>
        </is>
      </c>
      <c r="G69" t="inlineStr">
        <is>
          <t>ARJEPLOG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20319-2026</t>
        </is>
      </c>
      <c r="B70" t="inlineStr">
        <is>
          <t>avverkningsanmälan</t>
        </is>
      </c>
      <c r="C70" t="inlineStr">
        <is>
          <t>Föryngringsavverkning</t>
        </is>
      </c>
      <c r="D70" s="1" t="n">
        <v>46139</v>
      </c>
      <c r="E70" s="1" t="n">
        <v>46229</v>
      </c>
      <c r="F70" t="inlineStr">
        <is>
          <t>NORRBOTTENS LÄN</t>
        </is>
      </c>
      <c r="G70" t="inlineStr">
        <is>
          <t>ARJEPLOG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46229</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20326-2026</t>
        </is>
      </c>
      <c r="B72" t="inlineStr">
        <is>
          <t>avverkningsanmälan</t>
        </is>
      </c>
      <c r="C72" t="inlineStr">
        <is>
          <t>Föryngringsavverkning</t>
        </is>
      </c>
      <c r="D72" s="1" t="n">
        <v>46139</v>
      </c>
      <c r="E72" s="1" t="n">
        <v>46229</v>
      </c>
      <c r="F72" t="inlineStr">
        <is>
          <t>NORRBOTTENS LÄN</t>
        </is>
      </c>
      <c r="G72" t="inlineStr">
        <is>
          <t>ARJEPLOG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42597-2025</t>
        </is>
      </c>
      <c r="B73" t="inlineStr">
        <is>
          <t>avverkningsanmälan</t>
        </is>
      </c>
      <c r="C73" t="inlineStr">
        <is>
          <t>Föryngringsavverkning</t>
        </is>
      </c>
      <c r="D73" s="1" t="n">
        <v>45905</v>
      </c>
      <c r="E73" s="1" t="n">
        <v>46229</v>
      </c>
      <c r="F73" t="inlineStr">
        <is>
          <t>NORRBOTTENS LÄN</t>
        </is>
      </c>
      <c r="G73" t="inlineStr">
        <is>
          <t>ARJEPLOG</t>
        </is>
      </c>
      <c r="I73" t="n">
        <v>9.199999999999999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42526-2025</t>
        </is>
      </c>
      <c r="B74" t="inlineStr">
        <is>
          <t>avverkningsanmälan</t>
        </is>
      </c>
      <c r="C74" t="inlineStr">
        <is>
          <t>Föryngringsavverkning</t>
        </is>
      </c>
      <c r="D74" s="1" t="n">
        <v>45905</v>
      </c>
      <c r="E74" s="1" t="n">
        <v>46229</v>
      </c>
      <c r="F74" t="inlineStr">
        <is>
          <t>NORRBOTTENS LÄN</t>
        </is>
      </c>
      <c r="G74" t="inlineStr">
        <is>
          <t>ARJEPLOG</t>
        </is>
      </c>
      <c r="I74" t="n">
        <v>12.5</v>
      </c>
      <c r="J74" t="n">
        <v>0</v>
      </c>
      <c r="K74" t="n">
        <v>0</v>
      </c>
      <c r="L74" t="n">
        <v>0</v>
      </c>
      <c r="M74" t="n">
        <v>0</v>
      </c>
      <c r="N74" t="n">
        <v>0</v>
      </c>
      <c r="O74" t="n">
        <v>0</v>
      </c>
      <c r="P74" t="n">
        <v>0</v>
      </c>
      <c r="Q74" t="n">
        <v>0</v>
      </c>
      <c r="R74" t="n">
        <v>0</v>
      </c>
      <c r="S74" t="n">
        <v>0</v>
      </c>
      <c r="T74" t="n">
        <v>0</v>
      </c>
      <c r="U74" t="n">
        <v>0</v>
      </c>
      <c r="V74" s="2" t="inlineStr"/>
    </row>
    <row r="75" ht="15" customHeight="1">
      <c r="A75" t="inlineStr">
        <is>
          <t>A 20789-2022</t>
        </is>
      </c>
      <c r="B75" t="inlineStr">
        <is>
          <t>avverkningsanmälan</t>
        </is>
      </c>
      <c r="C75" t="inlineStr">
        <is>
          <t>Föryngringsavverkning</t>
        </is>
      </c>
      <c r="D75" s="1" t="n">
        <v>44701</v>
      </c>
      <c r="E75" s="1" t="n">
        <v>46229</v>
      </c>
      <c r="F75" t="inlineStr">
        <is>
          <t>NORRBOTTENS LÄN</t>
        </is>
      </c>
      <c r="G75" t="inlineStr">
        <is>
          <t>ARJEPLOG</t>
        </is>
      </c>
      <c r="I75" t="n">
        <v>20.3</v>
      </c>
      <c r="J75" t="n">
        <v>0</v>
      </c>
      <c r="K75" t="n">
        <v>0</v>
      </c>
      <c r="L75" t="n">
        <v>0</v>
      </c>
      <c r="M75" t="n">
        <v>0</v>
      </c>
      <c r="N75" t="n">
        <v>0</v>
      </c>
      <c r="O75" t="n">
        <v>0</v>
      </c>
      <c r="P75" t="n">
        <v>0</v>
      </c>
      <c r="Q75" t="n">
        <v>0</v>
      </c>
      <c r="R75" t="n">
        <v>0</v>
      </c>
      <c r="S75" t="n">
        <v>0</v>
      </c>
      <c r="T75" t="n">
        <v>0</v>
      </c>
      <c r="U75" t="n">
        <v>0</v>
      </c>
      <c r="V75" s="2" t="inlineStr"/>
    </row>
    <row r="76" ht="15" customHeight="1">
      <c r="A76" t="inlineStr">
        <is>
          <t>A 50255-2023</t>
        </is>
      </c>
      <c r="B76" t="inlineStr">
        <is>
          <t>avverkningsanmälan</t>
        </is>
      </c>
      <c r="C76" t="inlineStr">
        <is>
          <t>Föryngringsavverkning</t>
        </is>
      </c>
      <c r="D76" s="1" t="n">
        <v>45216</v>
      </c>
      <c r="E76" s="1" t="n">
        <v>46229</v>
      </c>
      <c r="F76" t="inlineStr">
        <is>
          <t>NORRBOTTENS LÄN</t>
        </is>
      </c>
      <c r="G76" t="inlineStr">
        <is>
          <t>ARJEPLOG</t>
        </is>
      </c>
      <c r="I76" t="n">
        <v>20</v>
      </c>
      <c r="J76" t="n">
        <v>0</v>
      </c>
      <c r="K76" t="n">
        <v>0</v>
      </c>
      <c r="L76" t="n">
        <v>0</v>
      </c>
      <c r="M76" t="n">
        <v>0</v>
      </c>
      <c r="N76" t="n">
        <v>0</v>
      </c>
      <c r="O76" t="n">
        <v>0</v>
      </c>
      <c r="P76" t="n">
        <v>0</v>
      </c>
      <c r="Q76" t="n">
        <v>0</v>
      </c>
      <c r="R76" t="n">
        <v>0</v>
      </c>
      <c r="S76" t="n">
        <v>0</v>
      </c>
      <c r="T76" t="n">
        <v>0</v>
      </c>
      <c r="U76" t="n">
        <v>0</v>
      </c>
      <c r="V76" s="2" t="inlineStr"/>
    </row>
    <row r="77" ht="15" customHeight="1">
      <c r="A77" t="inlineStr">
        <is>
          <t>A 46747-2025</t>
        </is>
      </c>
      <c r="B77" t="inlineStr">
        <is>
          <t>avverkningsanmälan</t>
        </is>
      </c>
      <c r="C77" t="inlineStr">
        <is>
          <t>Föryngringsavverkning</t>
        </is>
      </c>
      <c r="D77" s="1" t="n">
        <v>45926</v>
      </c>
      <c r="E77" s="1" t="n">
        <v>46229</v>
      </c>
      <c r="F77" t="inlineStr">
        <is>
          <t>NORRBOTTENS LÄN</t>
        </is>
      </c>
      <c r="G77" t="inlineStr">
        <is>
          <t>ARJEPLOG</t>
        </is>
      </c>
      <c r="I77" t="n">
        <v>19.7</v>
      </c>
      <c r="J77" t="n">
        <v>0</v>
      </c>
      <c r="K77" t="n">
        <v>0</v>
      </c>
      <c r="L77" t="n">
        <v>0</v>
      </c>
      <c r="M77" t="n">
        <v>0</v>
      </c>
      <c r="N77" t="n">
        <v>0</v>
      </c>
      <c r="O77" t="n">
        <v>0</v>
      </c>
      <c r="P77" t="n">
        <v>0</v>
      </c>
      <c r="Q77" t="n">
        <v>0</v>
      </c>
      <c r="R77" t="n">
        <v>0</v>
      </c>
      <c r="S77" t="n">
        <v>0</v>
      </c>
      <c r="T77" t="n">
        <v>0</v>
      </c>
      <c r="U77" t="n">
        <v>0</v>
      </c>
      <c r="V77" s="2" t="inlineStr"/>
    </row>
    <row r="78" ht="15" customHeight="1">
      <c r="A78" t="inlineStr">
        <is>
          <t>A 20322-2026</t>
        </is>
      </c>
      <c r="B78" t="inlineStr">
        <is>
          <t>avverkningsanmälan</t>
        </is>
      </c>
      <c r="C78" t="inlineStr">
        <is>
          <t>Föryngringsavverkning</t>
        </is>
      </c>
      <c r="D78" s="1" t="n">
        <v>46139</v>
      </c>
      <c r="E78" s="1" t="n">
        <v>46229</v>
      </c>
      <c r="F78" t="inlineStr">
        <is>
          <t>NORRBOTTENS LÄN</t>
        </is>
      </c>
      <c r="G78" t="inlineStr">
        <is>
          <t>ARJEPLOG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26486-2024</t>
        </is>
      </c>
      <c r="B79" t="inlineStr">
        <is>
          <t>avverkningsanmälan</t>
        </is>
      </c>
      <c r="C79" t="inlineStr">
        <is>
          <t>Föryngringsavverkning</t>
        </is>
      </c>
      <c r="D79" s="1" t="n">
        <v>45469</v>
      </c>
      <c r="E79" s="1" t="n">
        <v>46229</v>
      </c>
      <c r="F79" t="inlineStr">
        <is>
          <t>NORRBOTTENS LÄN</t>
        </is>
      </c>
      <c r="G79" t="inlineStr">
        <is>
          <t>ARJEPLOG</t>
        </is>
      </c>
      <c r="I79" t="n">
        <v>7.1</v>
      </c>
      <c r="J79" t="n">
        <v>0</v>
      </c>
      <c r="K79" t="n">
        <v>0</v>
      </c>
      <c r="L79" t="n">
        <v>0</v>
      </c>
      <c r="M79" t="n">
        <v>0</v>
      </c>
      <c r="N79" t="n">
        <v>0</v>
      </c>
      <c r="O79" t="n">
        <v>0</v>
      </c>
      <c r="P79" t="n">
        <v>0</v>
      </c>
      <c r="Q79" t="n">
        <v>0</v>
      </c>
      <c r="R79" t="n">
        <v>0</v>
      </c>
      <c r="S79" t="n">
        <v>0</v>
      </c>
      <c r="T79" t="n">
        <v>0</v>
      </c>
      <c r="U79" t="n">
        <v>0</v>
      </c>
      <c r="V79" s="2" t="inlineStr"/>
    </row>
    <row r="80" ht="15" customHeight="1">
      <c r="A80" t="inlineStr">
        <is>
          <t>A 26472-2024</t>
        </is>
      </c>
      <c r="B80" t="inlineStr">
        <is>
          <t>avverkningsanmälan</t>
        </is>
      </c>
      <c r="C80" t="inlineStr">
        <is>
          <t>Föryngringsavverkning</t>
        </is>
      </c>
      <c r="D80" s="1" t="n">
        <v>45469</v>
      </c>
      <c r="E80" s="1" t="n">
        <v>46229</v>
      </c>
      <c r="F80" t="inlineStr">
        <is>
          <t>NORRBOTTENS LÄN</t>
        </is>
      </c>
      <c r="G80" t="inlineStr">
        <is>
          <t>ARJEPLOG</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48987-2025</t>
        </is>
      </c>
      <c r="B81" t="inlineStr">
        <is>
          <t>avverkningsanmälan</t>
        </is>
      </c>
      <c r="C81" t="inlineStr">
        <is>
          <t>Avverkning för annat ändamål</t>
        </is>
      </c>
      <c r="D81" s="1" t="n">
        <v>45937</v>
      </c>
      <c r="E81" s="1" t="n">
        <v>46229</v>
      </c>
      <c r="F81" t="inlineStr">
        <is>
          <t>NORRBOTTENS LÄN</t>
        </is>
      </c>
      <c r="G81" t="inlineStr">
        <is>
          <t>ARJEPLOG</t>
        </is>
      </c>
      <c r="H81" t="inlineStr">
        <is>
          <t>Sveaskog</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27092-2022</t>
        </is>
      </c>
      <c r="B82" t="inlineStr">
        <is>
          <t>avverkningsanmälan</t>
        </is>
      </c>
      <c r="C82" t="inlineStr">
        <is>
          <t>Föryngringsavverkning</t>
        </is>
      </c>
      <c r="D82" s="1" t="n">
        <v>44741</v>
      </c>
      <c r="E82" s="1" t="n">
        <v>46229</v>
      </c>
      <c r="F82" t="inlineStr">
        <is>
          <t>NORRBOTTENS LÄN</t>
        </is>
      </c>
      <c r="G82" t="inlineStr">
        <is>
          <t>ARJEPLOG</t>
        </is>
      </c>
      <c r="I82" t="n">
        <v>15.6</v>
      </c>
      <c r="J82" t="n">
        <v>0</v>
      </c>
      <c r="K82" t="n">
        <v>0</v>
      </c>
      <c r="L82" t="n">
        <v>0</v>
      </c>
      <c r="M82" t="n">
        <v>0</v>
      </c>
      <c r="N82" t="n">
        <v>0</v>
      </c>
      <c r="O82" t="n">
        <v>0</v>
      </c>
      <c r="P82" t="n">
        <v>0</v>
      </c>
      <c r="Q82" t="n">
        <v>0</v>
      </c>
      <c r="R82" t="n">
        <v>0</v>
      </c>
      <c r="S82" t="n">
        <v>0</v>
      </c>
      <c r="T82" t="n">
        <v>0</v>
      </c>
      <c r="U82" t="n">
        <v>0</v>
      </c>
      <c r="V82" s="2" t="inlineStr"/>
    </row>
    <row r="83" ht="15" customHeight="1">
      <c r="A83" t="inlineStr">
        <is>
          <t>A 27102-2026</t>
        </is>
      </c>
      <c r="B83" t="inlineStr">
        <is>
          <t>avverkningsanmälan</t>
        </is>
      </c>
      <c r="C83" t="inlineStr">
        <is>
          <t>Avverkning för annat ändamål</t>
        </is>
      </c>
      <c r="D83" s="1" t="n">
        <v>46188</v>
      </c>
      <c r="E83" s="1" t="n">
        <v>46229</v>
      </c>
      <c r="F83" t="inlineStr">
        <is>
          <t>NORRBOTTENS LÄN</t>
        </is>
      </c>
      <c r="G83" t="inlineStr">
        <is>
          <t>ARJEPLOG</t>
        </is>
      </c>
      <c r="H83" t="inlineStr">
        <is>
          <t>Sveaskog</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64816-2023</t>
        </is>
      </c>
      <c r="B84" t="inlineStr">
        <is>
          <t>avverkningsanmälan</t>
        </is>
      </c>
      <c r="C84" t="inlineStr">
        <is>
          <t>Föryngringsavverkning</t>
        </is>
      </c>
      <c r="D84" s="1" t="n">
        <v>45281</v>
      </c>
      <c r="E84" s="1" t="n">
        <v>46229</v>
      </c>
      <c r="F84" t="inlineStr">
        <is>
          <t>NORRBOTTENS LÄN</t>
        </is>
      </c>
      <c r="G84" t="inlineStr">
        <is>
          <t>ARJEPLOG</t>
        </is>
      </c>
      <c r="I84" t="n">
        <v>13.4</v>
      </c>
      <c r="J84" t="n">
        <v>0</v>
      </c>
      <c r="K84" t="n">
        <v>0</v>
      </c>
      <c r="L84" t="n">
        <v>0</v>
      </c>
      <c r="M84" t="n">
        <v>0</v>
      </c>
      <c r="N84" t="n">
        <v>0</v>
      </c>
      <c r="O84" t="n">
        <v>0</v>
      </c>
      <c r="P84" t="n">
        <v>0</v>
      </c>
      <c r="Q84" t="n">
        <v>0</v>
      </c>
      <c r="R84" t="n">
        <v>0</v>
      </c>
      <c r="S84" t="n">
        <v>0</v>
      </c>
      <c r="T84" t="n">
        <v>0</v>
      </c>
      <c r="U84" t="n">
        <v>0</v>
      </c>
      <c r="V84" s="2" t="inlineStr"/>
    </row>
    <row r="85" ht="15" customHeight="1">
      <c r="A85" t="inlineStr">
        <is>
          <t>A 28354-2022</t>
        </is>
      </c>
      <c r="B85" t="inlineStr">
        <is>
          <t>avverkningsanmälan</t>
        </is>
      </c>
      <c r="C85" t="inlineStr">
        <is>
          <t>Avverkning för annat ändamål</t>
        </is>
      </c>
      <c r="D85" s="1" t="n">
        <v>44735</v>
      </c>
      <c r="E85" s="1" t="n">
        <v>46229</v>
      </c>
      <c r="F85" t="inlineStr">
        <is>
          <t>NORRBOTTENS LÄN</t>
        </is>
      </c>
      <c r="G85" t="inlineStr">
        <is>
          <t>ARJEPLOG</t>
        </is>
      </c>
      <c r="H85" t="inlineStr">
        <is>
          <t>Övriga statliga verk och myndigheter</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27836-2026</t>
        </is>
      </c>
      <c r="B86" t="inlineStr">
        <is>
          <t>avverkningsanmälan</t>
        </is>
      </c>
      <c r="C86" t="inlineStr">
        <is>
          <t>Avverkning för annat ändamål</t>
        </is>
      </c>
      <c r="D86" s="1" t="n">
        <v>46189</v>
      </c>
      <c r="E86" s="1" t="n">
        <v>46229</v>
      </c>
      <c r="F86" t="inlineStr">
        <is>
          <t>NORRBOTTENS LÄN</t>
        </is>
      </c>
      <c r="G86" t="inlineStr">
        <is>
          <t>ARJEPLOG</t>
        </is>
      </c>
      <c r="H86" t="inlineStr">
        <is>
          <t>Sveaskog</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55570-2025</t>
        </is>
      </c>
      <c r="B87" t="inlineStr">
        <is>
          <t>avverkningsanmälan</t>
        </is>
      </c>
      <c r="C87" t="inlineStr">
        <is>
          <t>Föryngringsavverkning</t>
        </is>
      </c>
      <c r="D87" s="1" t="n">
        <v>45971</v>
      </c>
      <c r="E87" s="1" t="n">
        <v>46229</v>
      </c>
      <c r="F87" t="inlineStr">
        <is>
          <t>NORRBOTTENS LÄN</t>
        </is>
      </c>
      <c r="G87" t="inlineStr">
        <is>
          <t>ARJEPLOG</t>
        </is>
      </c>
      <c r="H87" t="inlineStr">
        <is>
          <t>Övriga statliga verk och myndigheter</t>
        </is>
      </c>
      <c r="I87" t="n">
        <v>10.6</v>
      </c>
      <c r="J87" t="n">
        <v>0</v>
      </c>
      <c r="K87" t="n">
        <v>0</v>
      </c>
      <c r="L87" t="n">
        <v>0</v>
      </c>
      <c r="M87" t="n">
        <v>0</v>
      </c>
      <c r="N87" t="n">
        <v>0</v>
      </c>
      <c r="O87" t="n">
        <v>0</v>
      </c>
      <c r="P87" t="n">
        <v>0</v>
      </c>
      <c r="Q87" t="n">
        <v>0</v>
      </c>
      <c r="R87" t="n">
        <v>0</v>
      </c>
      <c r="S87" t="n">
        <v>0</v>
      </c>
      <c r="T87" t="n">
        <v>0</v>
      </c>
      <c r="U87" t="n">
        <v>0</v>
      </c>
      <c r="V87" s="2" t="inlineStr"/>
    </row>
    <row r="88" ht="15" customHeight="1">
      <c r="A88" t="inlineStr">
        <is>
          <t>A 34426-2025</t>
        </is>
      </c>
      <c r="B88" t="inlineStr">
        <is>
          <t>avverkningsanmälan</t>
        </is>
      </c>
      <c r="C88" t="inlineStr">
        <is>
          <t>Föryngringsavverkning</t>
        </is>
      </c>
      <c r="D88" s="1" t="n">
        <v>45845</v>
      </c>
      <c r="E88" s="1" t="n">
        <v>46229</v>
      </c>
      <c r="F88" t="inlineStr">
        <is>
          <t>NORRBOTTENS LÄN</t>
        </is>
      </c>
      <c r="G88" t="inlineStr">
        <is>
          <t>ARJEPLOG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17536-2023</t>
        </is>
      </c>
      <c r="B89" t="inlineStr">
        <is>
          <t>avverkningsanmälan</t>
        </is>
      </c>
      <c r="C89" t="inlineStr">
        <is>
          <t>Föryngringsavverkning</t>
        </is>
      </c>
      <c r="D89" s="1" t="n">
        <v>45034</v>
      </c>
      <c r="E89" s="1" t="n">
        <v>46229</v>
      </c>
      <c r="F89" t="inlineStr">
        <is>
          <t>NORRBOTTENS LÄN</t>
        </is>
      </c>
      <c r="G89" t="inlineStr">
        <is>
          <t>ARJEPLOG</t>
        </is>
      </c>
      <c r="H89" t="inlineStr">
        <is>
          <t>Övriga statliga verk och myndigheter</t>
        </is>
      </c>
      <c r="I89" t="n">
        <v>20.3</v>
      </c>
      <c r="J89" t="n">
        <v>0</v>
      </c>
      <c r="K89" t="n">
        <v>0</v>
      </c>
      <c r="L89" t="n">
        <v>0</v>
      </c>
      <c r="M89" t="n">
        <v>0</v>
      </c>
      <c r="N89" t="n">
        <v>0</v>
      </c>
      <c r="O89" t="n">
        <v>0</v>
      </c>
      <c r="P89" t="n">
        <v>0</v>
      </c>
      <c r="Q89" t="n">
        <v>0</v>
      </c>
      <c r="R89" t="n">
        <v>0</v>
      </c>
      <c r="S89" t="n">
        <v>0</v>
      </c>
      <c r="T89" t="n">
        <v>0</v>
      </c>
      <c r="U89" t="n">
        <v>0</v>
      </c>
      <c r="V89" s="2" t="inlineStr"/>
    </row>
    <row r="90" ht="15" customHeight="1">
      <c r="A90" t="inlineStr">
        <is>
          <t>A 390-2026</t>
        </is>
      </c>
      <c r="B90" t="inlineStr">
        <is>
          <t>avverkningsanmälan</t>
        </is>
      </c>
      <c r="C90" t="inlineStr">
        <is>
          <t>Föryngringsavverkning</t>
        </is>
      </c>
      <c r="D90" s="1" t="n">
        <v>46028</v>
      </c>
      <c r="E90" s="1" t="n">
        <v>46229</v>
      </c>
      <c r="F90" t="inlineStr">
        <is>
          <t>NORRBOTTENS LÄN</t>
        </is>
      </c>
      <c r="G90" t="inlineStr">
        <is>
          <t>ARJEPLOG</t>
        </is>
      </c>
      <c r="I90" t="n">
        <v>19.5</v>
      </c>
      <c r="J90" t="n">
        <v>0</v>
      </c>
      <c r="K90" t="n">
        <v>0</v>
      </c>
      <c r="L90" t="n">
        <v>0</v>
      </c>
      <c r="M90" t="n">
        <v>0</v>
      </c>
      <c r="N90" t="n">
        <v>0</v>
      </c>
      <c r="O90" t="n">
        <v>0</v>
      </c>
      <c r="P90" t="n">
        <v>0</v>
      </c>
      <c r="Q90" t="n">
        <v>0</v>
      </c>
      <c r="R90" t="n">
        <v>0</v>
      </c>
      <c r="S90" t="n">
        <v>0</v>
      </c>
      <c r="T90" t="n">
        <v>0</v>
      </c>
      <c r="U90" t="n">
        <v>0</v>
      </c>
      <c r="V90" s="2" t="inlineStr"/>
    </row>
    <row r="91" ht="15" customHeight="1">
      <c r="A91" t="inlineStr">
        <is>
          <t>A 44218-2023</t>
        </is>
      </c>
      <c r="B91" t="inlineStr">
        <is>
          <t>avverkningsanmälan</t>
        </is>
      </c>
      <c r="C91" t="inlineStr">
        <is>
          <t>Avverkning för annat ändamål</t>
        </is>
      </c>
      <c r="D91" s="1" t="n">
        <v>45183</v>
      </c>
      <c r="E91" s="1" t="n">
        <v>46229</v>
      </c>
      <c r="F91" t="inlineStr">
        <is>
          <t>NORRBOTTENS LÄN</t>
        </is>
      </c>
      <c r="G91" t="inlineStr">
        <is>
          <t>ARJEPLOG</t>
        </is>
      </c>
      <c r="H91" t="inlineStr">
        <is>
          <t>Allmännings- och besparingsskogar</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59887-2025</t>
        </is>
      </c>
      <c r="B92" t="inlineStr">
        <is>
          <t>avverkningsanmälan</t>
        </is>
      </c>
      <c r="C92" t="inlineStr">
        <is>
          <t>Föryngringsavverkning</t>
        </is>
      </c>
      <c r="D92" s="1" t="n">
        <v>45993</v>
      </c>
      <c r="E92" s="1" t="n">
        <v>46229</v>
      </c>
      <c r="F92" t="inlineStr">
        <is>
          <t>NORRBOTTENS LÄN</t>
        </is>
      </c>
      <c r="G92" t="inlineStr">
        <is>
          <t>ARJEPLOG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60767-2025</t>
        </is>
      </c>
      <c r="B93" t="inlineStr">
        <is>
          <t>avverkningsanmälan</t>
        </is>
      </c>
      <c r="C93" t="inlineStr">
        <is>
          <t>Föryngringsavverkning</t>
        </is>
      </c>
      <c r="D93" s="1" t="n">
        <v>45999</v>
      </c>
      <c r="E93" s="1" t="n">
        <v>46229</v>
      </c>
      <c r="F93" t="inlineStr">
        <is>
          <t>NORRBOTTENS LÄN</t>
        </is>
      </c>
      <c r="G93" t="inlineStr">
        <is>
          <t>ARJEPLOG</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60766-2025</t>
        </is>
      </c>
      <c r="B94" t="inlineStr">
        <is>
          <t>avverkningsanmälan</t>
        </is>
      </c>
      <c r="C94" t="inlineStr">
        <is>
          <t>Föryngringsavverkning</t>
        </is>
      </c>
      <c r="D94" s="1" t="n">
        <v>45999</v>
      </c>
      <c r="E94" s="1" t="n">
        <v>46229</v>
      </c>
      <c r="F94" t="inlineStr">
        <is>
          <t>NORRBOTTENS LÄN</t>
        </is>
      </c>
      <c r="G94" t="inlineStr">
        <is>
          <t>ARJEPLOG</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56754-2024</t>
        </is>
      </c>
      <c r="B95" t="inlineStr">
        <is>
          <t>avverkningsanmälan</t>
        </is>
      </c>
      <c r="C95" t="inlineStr">
        <is>
          <t>Föryngringsavverkning</t>
        </is>
      </c>
      <c r="D95" s="1" t="n">
        <v>45625</v>
      </c>
      <c r="E95" s="1" t="n">
        <v>46229</v>
      </c>
      <c r="F95" t="inlineStr">
        <is>
          <t>NORRBOTTENS LÄN</t>
        </is>
      </c>
      <c r="G95" t="inlineStr">
        <is>
          <t>ARJEPLOG</t>
        </is>
      </c>
      <c r="I95" t="n">
        <v>11.5</v>
      </c>
      <c r="J95" t="n">
        <v>0</v>
      </c>
      <c r="K95" t="n">
        <v>0</v>
      </c>
      <c r="L95" t="n">
        <v>0</v>
      </c>
      <c r="M95" t="n">
        <v>0</v>
      </c>
      <c r="N95" t="n">
        <v>0</v>
      </c>
      <c r="O95" t="n">
        <v>0</v>
      </c>
      <c r="P95" t="n">
        <v>0</v>
      </c>
      <c r="Q95" t="n">
        <v>0</v>
      </c>
      <c r="R95" t="n">
        <v>0</v>
      </c>
      <c r="S95" t="n">
        <v>0</v>
      </c>
      <c r="T95" t="n">
        <v>0</v>
      </c>
      <c r="U95" t="n">
        <v>0</v>
      </c>
      <c r="V95" s="2" t="inlineStr"/>
    </row>
    <row r="96" ht="15" customHeight="1">
      <c r="A96" t="inlineStr">
        <is>
          <t>A 28560-2026</t>
        </is>
      </c>
      <c r="B96" t="inlineStr">
        <is>
          <t>avverkningsanmälan</t>
        </is>
      </c>
      <c r="C96" t="inlineStr">
        <is>
          <t>Föryngringsavverkning</t>
        </is>
      </c>
      <c r="D96" s="1" t="n">
        <v>46197</v>
      </c>
      <c r="E96" s="1" t="n">
        <v>46229</v>
      </c>
      <c r="F96" t="inlineStr">
        <is>
          <t>NORRBOTTENS LÄN</t>
        </is>
      </c>
      <c r="G96" t="inlineStr">
        <is>
          <t>ARJEPLOG</t>
        </is>
      </c>
      <c r="H96" t="inlineStr">
        <is>
          <t>Allmännings- och besparingsskogar</t>
        </is>
      </c>
      <c r="I96" t="n">
        <v>14.2</v>
      </c>
      <c r="J96" t="n">
        <v>0</v>
      </c>
      <c r="K96" t="n">
        <v>0</v>
      </c>
      <c r="L96" t="n">
        <v>0</v>
      </c>
      <c r="M96" t="n">
        <v>0</v>
      </c>
      <c r="N96" t="n">
        <v>0</v>
      </c>
      <c r="O96" t="n">
        <v>0</v>
      </c>
      <c r="P96" t="n">
        <v>0</v>
      </c>
      <c r="Q96" t="n">
        <v>0</v>
      </c>
      <c r="R96" t="n">
        <v>0</v>
      </c>
      <c r="S96" t="n">
        <v>0</v>
      </c>
      <c r="T96" t="n">
        <v>0</v>
      </c>
      <c r="U96" t="n">
        <v>0</v>
      </c>
      <c r="V96" s="2" t="inlineStr"/>
    </row>
    <row r="97" ht="15" customHeight="1">
      <c r="A97" t="inlineStr">
        <is>
          <t>A 61729-2024</t>
        </is>
      </c>
      <c r="B97" t="inlineStr">
        <is>
          <t>avverkningsanmälan</t>
        </is>
      </c>
      <c r="C97" t="inlineStr">
        <is>
          <t>Avverkning för annat ändamål</t>
        </is>
      </c>
      <c r="D97" s="1" t="n">
        <v>45649</v>
      </c>
      <c r="E97" s="1" t="n">
        <v>46229</v>
      </c>
      <c r="F97" t="inlineStr">
        <is>
          <t>NORRBOTTENS LÄN</t>
        </is>
      </c>
      <c r="G97" t="inlineStr">
        <is>
          <t>ARJEPLOG</t>
        </is>
      </c>
      <c r="H97" t="inlineStr">
        <is>
          <t>Övriga statliga verk och myndigheter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26811-2022</t>
        </is>
      </c>
      <c r="B98" t="inlineStr">
        <is>
          <t>avverkningsanmälan</t>
        </is>
      </c>
      <c r="C98" t="inlineStr">
        <is>
          <t>Avverkning för annat ändamål</t>
        </is>
      </c>
      <c r="D98" s="1" t="n">
        <v>44735</v>
      </c>
      <c r="E98" s="1" t="n">
        <v>46229</v>
      </c>
      <c r="F98" t="inlineStr">
        <is>
          <t>NORRBOTTENS LÄN</t>
        </is>
      </c>
      <c r="G98" t="inlineStr">
        <is>
          <t>ARJEPLOG</t>
        </is>
      </c>
      <c r="H98" t="inlineStr">
        <is>
          <t>Övriga statliga verk och myndigheter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28799-2026</t>
        </is>
      </c>
      <c r="B99" t="inlineStr">
        <is>
          <t>avverkningsanmälan</t>
        </is>
      </c>
      <c r="C99" t="inlineStr">
        <is>
          <t>Föryngringsavverkning</t>
        </is>
      </c>
      <c r="D99" s="1" t="n">
        <v>46198</v>
      </c>
      <c r="E99" s="1" t="n">
        <v>46229</v>
      </c>
      <c r="F99" t="inlineStr">
        <is>
          <t>NORRBOTTENS LÄN</t>
        </is>
      </c>
      <c r="G99" t="inlineStr">
        <is>
          <t>ARJEPLOG</t>
        </is>
      </c>
      <c r="H99" t="inlineStr">
        <is>
          <t>Allmännings- och besparingsskogar</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28804-2026</t>
        </is>
      </c>
      <c r="B100" t="inlineStr">
        <is>
          <t>avverkningsanmälan</t>
        </is>
      </c>
      <c r="C100" t="inlineStr">
        <is>
          <t>Föryngringsavverkning</t>
        </is>
      </c>
      <c r="D100" s="1" t="n">
        <v>46198</v>
      </c>
      <c r="E100" s="1" t="n">
        <v>46229</v>
      </c>
      <c r="F100" t="inlineStr">
        <is>
          <t>NORRBOTTENS LÄN</t>
        </is>
      </c>
      <c r="G100" t="inlineStr">
        <is>
          <t>ARJEPLOG</t>
        </is>
      </c>
      <c r="H100" t="inlineStr">
        <is>
          <t>Allmännings- och besparingsskogar</t>
        </is>
      </c>
      <c r="I100" t="n">
        <v>11.5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29674-2025</t>
        </is>
      </c>
      <c r="B101" t="inlineStr">
        <is>
          <t>avverkningsanmälan</t>
        </is>
      </c>
      <c r="C101" t="inlineStr">
        <is>
          <t>Föryngringsavverkning</t>
        </is>
      </c>
      <c r="D101" s="1" t="n">
        <v>45825</v>
      </c>
      <c r="E101" s="1" t="n">
        <v>46229</v>
      </c>
      <c r="F101" t="inlineStr">
        <is>
          <t>NORRBOTTENS LÄN</t>
        </is>
      </c>
      <c r="G101" t="inlineStr">
        <is>
          <t>ARJEPLOG</t>
        </is>
      </c>
      <c r="H101" t="inlineStr">
        <is>
          <t>Allmännings- och besparingsskogar</t>
        </is>
      </c>
      <c r="I101" t="n">
        <v>25.1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23330-2026</t>
        </is>
      </c>
      <c r="B102" t="inlineStr">
        <is>
          <t>avverkningsanmälan</t>
        </is>
      </c>
      <c r="C102" t="inlineStr">
        <is>
          <t>Föryngringsavverkning</t>
        </is>
      </c>
      <c r="D102" s="1" t="n">
        <v>46162</v>
      </c>
      <c r="E102" s="1" t="n">
        <v>46229</v>
      </c>
      <c r="F102" t="inlineStr">
        <is>
          <t>NORRBOTTENS LÄN</t>
        </is>
      </c>
      <c r="G102" t="inlineStr">
        <is>
          <t>ARJEPLOG</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23335-2026</t>
        </is>
      </c>
      <c r="B103" t="inlineStr">
        <is>
          <t>avverkningsanmälan</t>
        </is>
      </c>
      <c r="C103" t="inlineStr">
        <is>
          <t>Föryngringsavverkning</t>
        </is>
      </c>
      <c r="D103" s="1" t="n">
        <v>46162</v>
      </c>
      <c r="E103" s="1" t="n">
        <v>46229</v>
      </c>
      <c r="F103" t="inlineStr">
        <is>
          <t>NORRBOTTENS LÄN</t>
        </is>
      </c>
      <c r="G103" t="inlineStr">
        <is>
          <t>ARJEPLOG</t>
        </is>
      </c>
      <c r="I103" t="n">
        <v>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12447-2025</t>
        </is>
      </c>
      <c r="B104" t="inlineStr">
        <is>
          <t>avverkningsanmälan</t>
        </is>
      </c>
      <c r="C104" t="inlineStr">
        <is>
          <t>Föryngringsavverkning</t>
        </is>
      </c>
      <c r="D104" s="1" t="n">
        <v>45730</v>
      </c>
      <c r="E104" s="1" t="n">
        <v>46229</v>
      </c>
      <c r="F104" t="inlineStr">
        <is>
          <t>NORRBOTTENS LÄN</t>
        </is>
      </c>
      <c r="G104" t="inlineStr">
        <is>
          <t>ARJEPLOG</t>
        </is>
      </c>
      <c r="I104" t="n">
        <v>7.9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25239-2023</t>
        </is>
      </c>
      <c r="B105" t="inlineStr">
        <is>
          <t>avverkningsanmälan</t>
        </is>
      </c>
      <c r="C105" t="inlineStr">
        <is>
          <t>Föryngringsavverkning</t>
        </is>
      </c>
      <c r="D105" s="1" t="n">
        <v>45079</v>
      </c>
      <c r="E105" s="1" t="n">
        <v>46229</v>
      </c>
      <c r="F105" t="inlineStr">
        <is>
          <t>NORRBOTTENS LÄN</t>
        </is>
      </c>
      <c r="G105" t="inlineStr">
        <is>
          <t>ARJEPLOG</t>
        </is>
      </c>
      <c r="H105" t="inlineStr">
        <is>
          <t>Övriga statliga verk och myndigheter</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52581-2022</t>
        </is>
      </c>
      <c r="B106" t="inlineStr">
        <is>
          <t>avverkningsanmälan</t>
        </is>
      </c>
      <c r="C106" t="inlineStr">
        <is>
          <t>Föryngringsavverkning</t>
        </is>
      </c>
      <c r="D106" s="1" t="n">
        <v>44874</v>
      </c>
      <c r="E106" s="1" t="n">
        <v>46229</v>
      </c>
      <c r="F106" t="inlineStr">
        <is>
          <t>NORRBOTTENS LÄN</t>
        </is>
      </c>
      <c r="G106" t="inlineStr">
        <is>
          <t>ARJEPLOG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25440-2024</t>
        </is>
      </c>
      <c r="B107" t="inlineStr">
        <is>
          <t>avverkningsanmälan</t>
        </is>
      </c>
      <c r="C107" t="inlineStr">
        <is>
          <t>Föryngringsavverkning</t>
        </is>
      </c>
      <c r="D107" s="1" t="n">
        <v>45463</v>
      </c>
      <c r="E107" s="1" t="n">
        <v>46229</v>
      </c>
      <c r="F107" t="inlineStr">
        <is>
          <t>NORRBOTTENS LÄN</t>
        </is>
      </c>
      <c r="G107" t="inlineStr">
        <is>
          <t>ARJEPLOG</t>
        </is>
      </c>
      <c r="H107" t="inlineStr">
        <is>
          <t>Allmännings- och besparingsskogar</t>
        </is>
      </c>
      <c r="I107" t="n">
        <v>30.7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58989-2024</t>
        </is>
      </c>
      <c r="B108" t="inlineStr">
        <is>
          <t>avverkningsanmälan</t>
        </is>
      </c>
      <c r="C108" t="inlineStr">
        <is>
          <t>Avverkning för annat ändamål</t>
        </is>
      </c>
      <c r="D108" s="1" t="n">
        <v>45636</v>
      </c>
      <c r="E108" s="1" t="n">
        <v>46229</v>
      </c>
      <c r="F108" t="inlineStr">
        <is>
          <t>NORRBOTTENS LÄN</t>
        </is>
      </c>
      <c r="G108" t="inlineStr">
        <is>
          <t>ARJEPLOG</t>
        </is>
      </c>
      <c r="H108" t="inlineStr">
        <is>
          <t>Sveaskog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26103-2024</t>
        </is>
      </c>
      <c r="B109" t="inlineStr">
        <is>
          <t>avverkningsanmälan</t>
        </is>
      </c>
      <c r="C109" t="inlineStr">
        <is>
          <t>Föryngringsavverkning</t>
        </is>
      </c>
      <c r="D109" s="1" t="n">
        <v>45467</v>
      </c>
      <c r="E109" s="1" t="n">
        <v>46229</v>
      </c>
      <c r="F109" t="inlineStr">
        <is>
          <t>NORRBOTTENS LÄN</t>
        </is>
      </c>
      <c r="G109" t="inlineStr">
        <is>
          <t>ARJEPLOG</t>
        </is>
      </c>
      <c r="I109" t="n">
        <v>17.2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64832-2023</t>
        </is>
      </c>
      <c r="B110" t="inlineStr">
        <is>
          <t>avverkningsanmälan</t>
        </is>
      </c>
      <c r="C110" t="inlineStr">
        <is>
          <t>Föryngringsavverkning</t>
        </is>
      </c>
      <c r="D110" s="1" t="n">
        <v>45281</v>
      </c>
      <c r="E110" s="1" t="n">
        <v>46229</v>
      </c>
      <c r="F110" t="inlineStr">
        <is>
          <t>NORRBOTTENS LÄN</t>
        </is>
      </c>
      <c r="G110" t="inlineStr">
        <is>
          <t>ARJEPLOG</t>
        </is>
      </c>
      <c r="I110" t="n">
        <v>43.6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25270-2023</t>
        </is>
      </c>
      <c r="B111" t="inlineStr">
        <is>
          <t>avverkningsanmälan</t>
        </is>
      </c>
      <c r="C111" t="inlineStr">
        <is>
          <t>Föryngringsavverkning</t>
        </is>
      </c>
      <c r="D111" s="1" t="n">
        <v>45079</v>
      </c>
      <c r="E111" s="1" t="n">
        <v>46229</v>
      </c>
      <c r="F111" t="inlineStr">
        <is>
          <t>NORRBOTTENS LÄN</t>
        </is>
      </c>
      <c r="G111" t="inlineStr">
        <is>
          <t>ARJEPLOG</t>
        </is>
      </c>
      <c r="H111" t="inlineStr">
        <is>
          <t>Övriga statliga verk och myndigheter</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28532-2026</t>
        </is>
      </c>
      <c r="B112" t="inlineStr">
        <is>
          <t>avverkningsanmälan</t>
        </is>
      </c>
      <c r="C112" t="inlineStr">
        <is>
          <t>Avverkning för annat ändamål</t>
        </is>
      </c>
      <c r="D112" s="1" t="n">
        <v>46197</v>
      </c>
      <c r="E112" s="1" t="n">
        <v>46229</v>
      </c>
      <c r="F112" t="inlineStr">
        <is>
          <t>NORRBOTTENS LÄN</t>
        </is>
      </c>
      <c r="G112" t="inlineStr">
        <is>
          <t>ARJEPLOG</t>
        </is>
      </c>
      <c r="H112" t="inlineStr">
        <is>
          <t>Allmännings- och besparingsskogar</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28679-2026</t>
        </is>
      </c>
      <c r="B113" t="inlineStr">
        <is>
          <t>avverkningsanmälan</t>
        </is>
      </c>
      <c r="C113" t="inlineStr">
        <is>
          <t>Föryngringsavverkning</t>
        </is>
      </c>
      <c r="D113" s="1" t="n">
        <v>46198</v>
      </c>
      <c r="E113" s="1" t="n">
        <v>46229</v>
      </c>
      <c r="F113" t="inlineStr">
        <is>
          <t>NORRBOTTENS LÄN</t>
        </is>
      </c>
      <c r="G113" t="inlineStr">
        <is>
          <t>ARJEPLOG</t>
        </is>
      </c>
      <c r="H113" t="inlineStr">
        <is>
          <t>Allmännings- och besparingsskogar</t>
        </is>
      </c>
      <c r="I113" t="n">
        <v>17.2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28551-2026</t>
        </is>
      </c>
      <c r="B114" t="inlineStr">
        <is>
          <t>avverkningsanmälan</t>
        </is>
      </c>
      <c r="C114" t="inlineStr">
        <is>
          <t>Föryngringsavverkning</t>
        </is>
      </c>
      <c r="D114" s="1" t="n">
        <v>46197</v>
      </c>
      <c r="E114" s="1" t="n">
        <v>46229</v>
      </c>
      <c r="F114" t="inlineStr">
        <is>
          <t>NORRBOTTENS LÄN</t>
        </is>
      </c>
      <c r="G114" t="inlineStr">
        <is>
          <t>ARJEPLOG</t>
        </is>
      </c>
      <c r="H114" t="inlineStr">
        <is>
          <t>Allmännings- och besparingsskogar</t>
        </is>
      </c>
      <c r="I114" t="n">
        <v>22.9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28787-2026</t>
        </is>
      </c>
      <c r="B115" t="inlineStr">
        <is>
          <t>avverkningsanmälan</t>
        </is>
      </c>
      <c r="C115" t="inlineStr">
        <is>
          <t>Föryngringsavverkning</t>
        </is>
      </c>
      <c r="D115" s="1" t="n">
        <v>46198</v>
      </c>
      <c r="E115" s="1" t="n">
        <v>46229</v>
      </c>
      <c r="F115" t="inlineStr">
        <is>
          <t>NORRBOTTENS LÄN</t>
        </is>
      </c>
      <c r="G115" t="inlineStr">
        <is>
          <t>ARJEPLOG</t>
        </is>
      </c>
      <c r="H115" t="inlineStr">
        <is>
          <t>Allmännings- och besparingsskogar</t>
        </is>
      </c>
      <c r="I115" t="n">
        <v>13.3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14861-2026</t>
        </is>
      </c>
      <c r="B116" t="inlineStr">
        <is>
          <t>avverkningsanmälan</t>
        </is>
      </c>
      <c r="C116" t="inlineStr">
        <is>
          <t>Föryngringsavverkning</t>
        </is>
      </c>
      <c r="D116" s="1" t="n">
        <v>46104</v>
      </c>
      <c r="E116" s="1" t="n">
        <v>46229</v>
      </c>
      <c r="F116" t="inlineStr">
        <is>
          <t>NORRBOTTENS LÄN</t>
        </is>
      </c>
      <c r="G116" t="inlineStr">
        <is>
          <t>ARJEPLOG</t>
        </is>
      </c>
      <c r="H116" t="inlineStr">
        <is>
          <t>Sveaskog</t>
        </is>
      </c>
      <c r="I116" t="n">
        <v>31.7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53822-2024</t>
        </is>
      </c>
      <c r="B117" t="inlineStr">
        <is>
          <t>avverkningsanmälan</t>
        </is>
      </c>
      <c r="C117" t="inlineStr">
        <is>
          <t>Föryngringsavverkning</t>
        </is>
      </c>
      <c r="D117" s="1" t="n">
        <v>45614</v>
      </c>
      <c r="E117" s="1" t="n">
        <v>46229</v>
      </c>
      <c r="F117" t="inlineStr">
        <is>
          <t>NORRBOTTENS LÄN</t>
        </is>
      </c>
      <c r="G117" t="inlineStr">
        <is>
          <t>ARJEPLOG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26479-2024</t>
        </is>
      </c>
      <c r="B118" t="inlineStr">
        <is>
          <t>avverkningsanmälan</t>
        </is>
      </c>
      <c r="C118" t="inlineStr">
        <is>
          <t>Föryngringsavverkning</t>
        </is>
      </c>
      <c r="D118" s="1" t="n">
        <v>45468</v>
      </c>
      <c r="E118" s="1" t="n">
        <v>46229</v>
      </c>
      <c r="F118" t="inlineStr">
        <is>
          <t>NORRBOTTENS LÄN</t>
        </is>
      </c>
      <c r="G118" t="inlineStr">
        <is>
          <t>ARJEPLOG</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12409-2025</t>
        </is>
      </c>
      <c r="B119" t="inlineStr">
        <is>
          <t>avverkningsanmälan</t>
        </is>
      </c>
      <c r="C119" t="inlineStr">
        <is>
          <t>Föryngringsavverkning</t>
        </is>
      </c>
      <c r="D119" s="1" t="n">
        <v>45730</v>
      </c>
      <c r="E119" s="1" t="n">
        <v>46229</v>
      </c>
      <c r="F119" t="inlineStr">
        <is>
          <t>NORRBOTTENS LÄN</t>
        </is>
      </c>
      <c r="G119" t="inlineStr">
        <is>
          <t>ARJEPLOG</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26773-2022</t>
        </is>
      </c>
      <c r="B120" t="inlineStr">
        <is>
          <t>avverkningsanmälan</t>
        </is>
      </c>
      <c r="C120" t="inlineStr">
        <is>
          <t>Föryngringsavverkning</t>
        </is>
      </c>
      <c r="D120" s="1" t="n">
        <v>44732</v>
      </c>
      <c r="E120" s="1" t="n">
        <v>46229</v>
      </c>
      <c r="F120" t="inlineStr">
        <is>
          <t>NORRBOTTENS LÄN</t>
        </is>
      </c>
      <c r="G120" t="inlineStr">
        <is>
          <t>ARJEPLOG</t>
        </is>
      </c>
      <c r="H120" t="inlineStr">
        <is>
          <t>Övriga statliga verk och myndigheter</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26048-2026</t>
        </is>
      </c>
      <c r="B121" t="inlineStr">
        <is>
          <t>avverkningsanmälan</t>
        </is>
      </c>
      <c r="C121" t="inlineStr">
        <is>
          <t>Föryngringsavverkning</t>
        </is>
      </c>
      <c r="D121" s="1" t="n">
        <v>46181</v>
      </c>
      <c r="E121" s="1" t="n">
        <v>46229</v>
      </c>
      <c r="F121" t="inlineStr">
        <is>
          <t>NORRBOTTENS LÄN</t>
        </is>
      </c>
      <c r="G121" t="inlineStr">
        <is>
          <t>ARJEPLOG</t>
        </is>
      </c>
      <c r="I121" t="n">
        <v>16.9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35194-2024</t>
        </is>
      </c>
      <c r="B122" t="inlineStr">
        <is>
          <t>avverkningsanmälan</t>
        </is>
      </c>
      <c r="C122" t="inlineStr">
        <is>
          <t>Föryngringsavverkning</t>
        </is>
      </c>
      <c r="D122" s="1" t="n">
        <v>45530</v>
      </c>
      <c r="E122" s="1" t="n">
        <v>46229</v>
      </c>
      <c r="F122" t="inlineStr">
        <is>
          <t>NORRBOTTENS LÄN</t>
        </is>
      </c>
      <c r="G122" t="inlineStr">
        <is>
          <t>ARJEPLOG</t>
        </is>
      </c>
      <c r="I122" t="n">
        <v>20.1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36623-2023</t>
        </is>
      </c>
      <c r="B123" t="inlineStr">
        <is>
          <t>avverkningsanmälan</t>
        </is>
      </c>
      <c r="C123" t="inlineStr">
        <is>
          <t>Föryngringsavverkning</t>
        </is>
      </c>
      <c r="D123" s="1" t="n">
        <v>45153</v>
      </c>
      <c r="E123" s="1" t="n">
        <v>46229</v>
      </c>
      <c r="F123" t="inlineStr">
        <is>
          <t>NORRBOTTENS LÄN</t>
        </is>
      </c>
      <c r="G123" t="inlineStr">
        <is>
          <t>ARJEPLOG</t>
        </is>
      </c>
      <c r="H123" t="inlineStr">
        <is>
          <t>Sveaskog</t>
        </is>
      </c>
      <c r="I123" t="n">
        <v>16.9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64840-2023</t>
        </is>
      </c>
      <c r="B124" t="inlineStr">
        <is>
          <t>avverkningsanmälan</t>
        </is>
      </c>
      <c r="C124" t="inlineStr">
        <is>
          <t>Föryngringsavverkning</t>
        </is>
      </c>
      <c r="D124" s="1" t="n">
        <v>45281</v>
      </c>
      <c r="E124" s="1" t="n">
        <v>46229</v>
      </c>
      <c r="F124" t="inlineStr">
        <is>
          <t>NORRBOTTENS LÄN</t>
        </is>
      </c>
      <c r="G124" t="inlineStr">
        <is>
          <t>ARJEPLOG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56785-2024</t>
        </is>
      </c>
      <c r="B125" t="inlineStr">
        <is>
          <t>avverkningsanmälan</t>
        </is>
      </c>
      <c r="C125" t="inlineStr">
        <is>
          <t>Föryngringsavverkning</t>
        </is>
      </c>
      <c r="D125" s="1" t="n">
        <v>45625</v>
      </c>
      <c r="E125" s="1" t="n">
        <v>46229</v>
      </c>
      <c r="F125" t="inlineStr">
        <is>
          <t>NORRBOTTENS LÄN</t>
        </is>
      </c>
      <c r="G125" t="inlineStr">
        <is>
          <t>ARJEPLOG</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56800-2024</t>
        </is>
      </c>
      <c r="B126" t="inlineStr">
        <is>
          <t>avverkningsanmälan</t>
        </is>
      </c>
      <c r="C126" t="inlineStr">
        <is>
          <t>Föryngringsavverkning</t>
        </is>
      </c>
      <c r="D126" s="1" t="n">
        <v>45625</v>
      </c>
      <c r="E126" s="1" t="n">
        <v>46229</v>
      </c>
      <c r="F126" t="inlineStr">
        <is>
          <t>NORRBOTTENS LÄN</t>
        </is>
      </c>
      <c r="G126" t="inlineStr">
        <is>
          <t>ARJEPLOG</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56794-2024</t>
        </is>
      </c>
      <c r="B127" t="inlineStr">
        <is>
          <t>avverkningsanmälan</t>
        </is>
      </c>
      <c r="C127" t="inlineStr">
        <is>
          <t>Föryngringsavverkning</t>
        </is>
      </c>
      <c r="D127" s="1" t="n">
        <v>45625</v>
      </c>
      <c r="E127" s="1" t="n">
        <v>46229</v>
      </c>
      <c r="F127" t="inlineStr">
        <is>
          <t>NORRBOTTENS LÄN</t>
        </is>
      </c>
      <c r="G127" t="inlineStr">
        <is>
          <t>ARJEPLOG</t>
        </is>
      </c>
      <c r="I127" t="n">
        <v>7.5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56782-2024</t>
        </is>
      </c>
      <c r="B128" t="inlineStr">
        <is>
          <t>avverkningsanmälan</t>
        </is>
      </c>
      <c r="C128" t="inlineStr">
        <is>
          <t>Föryngringsavverkning</t>
        </is>
      </c>
      <c r="D128" s="1" t="n">
        <v>45625</v>
      </c>
      <c r="E128" s="1" t="n">
        <v>46229</v>
      </c>
      <c r="F128" t="inlineStr">
        <is>
          <t>NORRBOTTENS LÄN</t>
        </is>
      </c>
      <c r="G128" t="inlineStr">
        <is>
          <t>ARJEPLOG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42274-2022</t>
        </is>
      </c>
      <c r="B129" t="inlineStr">
        <is>
          <t>avverkningsanmälan</t>
        </is>
      </c>
      <c r="C129" t="inlineStr">
        <is>
          <t>Föryngringsavverkning</t>
        </is>
      </c>
      <c r="D129" s="1" t="n">
        <v>44830</v>
      </c>
      <c r="E129" s="1" t="n">
        <v>46229</v>
      </c>
      <c r="F129" t="inlineStr">
        <is>
          <t>NORRBOTTENS LÄN</t>
        </is>
      </c>
      <c r="G129" t="inlineStr">
        <is>
          <t>ARJEPLOG</t>
        </is>
      </c>
      <c r="H129" t="inlineStr">
        <is>
          <t>SCA</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56276-2021</t>
        </is>
      </c>
      <c r="B130" t="inlineStr">
        <is>
          <t>avverkningsanmälan</t>
        </is>
      </c>
      <c r="C130" t="inlineStr">
        <is>
          <t>Avverkning för annat ändamål</t>
        </is>
      </c>
      <c r="D130" s="1" t="n">
        <v>44479</v>
      </c>
      <c r="E130" s="1" t="n">
        <v>46229</v>
      </c>
      <c r="F130" t="inlineStr">
        <is>
          <t>NORRBOTTENS LÄN</t>
        </is>
      </c>
      <c r="G130" t="inlineStr">
        <is>
          <t>ARJEPLOG</t>
        </is>
      </c>
      <c r="I130" t="n">
        <v>19.8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43045-2022</t>
        </is>
      </c>
      <c r="B131" t="inlineStr">
        <is>
          <t>avverkningsanmälan</t>
        </is>
      </c>
      <c r="C131" t="inlineStr">
        <is>
          <t>Föryngringsavverkning</t>
        </is>
      </c>
      <c r="D131" s="1" t="n">
        <v>44833</v>
      </c>
      <c r="E131" s="1" t="n">
        <v>46229</v>
      </c>
      <c r="F131" t="inlineStr">
        <is>
          <t>NORRBOTTENS LÄN</t>
        </is>
      </c>
      <c r="G131" t="inlineStr">
        <is>
          <t>ARJEPLOG</t>
        </is>
      </c>
      <c r="I131" t="n">
        <v>24.6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46229</v>
      </c>
      <c r="F132" t="inlineStr">
        <is>
          <t>NORRBOTTENS LÄN</t>
        </is>
      </c>
      <c r="G132" t="inlineStr">
        <is>
          <t>ARJEPLOG</t>
        </is>
      </c>
      <c r="I132" t="n">
        <v>23.2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25275-2023</t>
        </is>
      </c>
      <c r="B133" t="inlineStr">
        <is>
          <t>avverkningsanmälan</t>
        </is>
      </c>
      <c r="C133" t="inlineStr">
        <is>
          <t>Föryngringsavverkning</t>
        </is>
      </c>
      <c r="D133" s="1" t="n">
        <v>45079</v>
      </c>
      <c r="E133" s="1" t="n">
        <v>46229</v>
      </c>
      <c r="F133" t="inlineStr">
        <is>
          <t>NORRBOTTENS LÄN</t>
        </is>
      </c>
      <c r="G133" t="inlineStr">
        <is>
          <t>ARJEPLOG</t>
        </is>
      </c>
      <c r="H133" t="inlineStr">
        <is>
          <t>Övriga statliga verk och myndigheter</t>
        </is>
      </c>
      <c r="I133" t="n">
        <v>22.7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31104-2025</t>
        </is>
      </c>
      <c r="B134" t="inlineStr">
        <is>
          <t>avverkningsanmälan</t>
        </is>
      </c>
      <c r="C134" t="inlineStr">
        <is>
          <t>Föryngringsavverkning</t>
        </is>
      </c>
      <c r="D134" s="1" t="n">
        <v>45832</v>
      </c>
      <c r="E134" s="1" t="n">
        <v>46229</v>
      </c>
      <c r="F134" t="inlineStr">
        <is>
          <t>NORRBOTTENS LÄN</t>
        </is>
      </c>
      <c r="G134" t="inlineStr">
        <is>
          <t>ARJEPLOG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25559-2022</t>
        </is>
      </c>
      <c r="B135" t="inlineStr">
        <is>
          <t>avverkningsanmälan</t>
        </is>
      </c>
      <c r="C135" t="inlineStr">
        <is>
          <t>Föryngringsavverkning</t>
        </is>
      </c>
      <c r="D135" s="1" t="n">
        <v>44732</v>
      </c>
      <c r="E135" s="1" t="n">
        <v>46229</v>
      </c>
      <c r="F135" t="inlineStr">
        <is>
          <t>NORRBOTTENS LÄN</t>
        </is>
      </c>
      <c r="G135" t="inlineStr">
        <is>
          <t>ARJEPLOG</t>
        </is>
      </c>
      <c r="H135" t="inlineStr">
        <is>
          <t>Övriga statliga verk och myndigheter</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29662-2025</t>
        </is>
      </c>
      <c r="B136" t="inlineStr">
        <is>
          <t>avverkningsanmälan</t>
        </is>
      </c>
      <c r="C136" t="inlineStr">
        <is>
          <t>Föryngringsavverkning</t>
        </is>
      </c>
      <c r="D136" s="1" t="n">
        <v>45825</v>
      </c>
      <c r="E136" s="1" t="n">
        <v>46229</v>
      </c>
      <c r="F136" t="inlineStr">
        <is>
          <t>NORRBOTTENS LÄN</t>
        </is>
      </c>
      <c r="G136" t="inlineStr">
        <is>
          <t>ARJEPLOG</t>
        </is>
      </c>
      <c r="H136" t="inlineStr">
        <is>
          <t>Allmännings- och besparingsskogar</t>
        </is>
      </c>
      <c r="I136" t="n">
        <v>23.7</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46229</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2026-07-26T01:52:33Z</dcterms:created>
  <dcterms:modified xmlns:dcterms="http://purl.org/dc/terms/" xmlns:xsi="http://www.w3.org/2001/XMLSchema-instance" xsi:type="dcterms:W3CDTF">2026-07-26T01:52:33Z</dcterms:modified>
</cp:coreProperties>
</file>