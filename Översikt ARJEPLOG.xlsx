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45583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45583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33217-2020</t>
        </is>
      </c>
      <c r="B4" s="1" t="n">
        <v>44020</v>
      </c>
      <c r="C4" s="1" t="n">
        <v>45583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56.5</v>
      </c>
      <c r="H4" t="n">
        <v>1</v>
      </c>
      <c r="I4" t="n">
        <v>1</v>
      </c>
      <c r="J4" t="n">
        <v>12</v>
      </c>
      <c r="K4" t="n">
        <v>2</v>
      </c>
      <c r="L4" t="n">
        <v>1</v>
      </c>
      <c r="M4" t="n">
        <v>0</v>
      </c>
      <c r="N4" t="n">
        <v>0</v>
      </c>
      <c r="O4" t="n">
        <v>15</v>
      </c>
      <c r="P4" t="n">
        <v>3</v>
      </c>
      <c r="Q4" t="n">
        <v>16</v>
      </c>
      <c r="R4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4">
        <f>HYPERLINK("https://klasma.github.io/Logging_2506/artfynd/A 33217-2020 artfynd.xlsx", "A 33217-2020")</f>
        <v/>
      </c>
      <c r="T4">
        <f>HYPERLINK("https://klasma.github.io/Logging_2506/kartor/A 33217-2020 karta.png", "A 33217-2020")</f>
        <v/>
      </c>
      <c r="V4">
        <f>HYPERLINK("https://klasma.github.io/Logging_2506/klagomål/A 33217-2020 FSC-klagomål.docx", "A 33217-2020")</f>
        <v/>
      </c>
      <c r="W4">
        <f>HYPERLINK("https://klasma.github.io/Logging_2506/klagomålsmail/A 33217-2020 FSC-klagomål mail.docx", "A 33217-2020")</f>
        <v/>
      </c>
      <c r="X4">
        <f>HYPERLINK("https://klasma.github.io/Logging_2506/tillsyn/A 33217-2020 tillsynsbegäran.docx", "A 33217-2020")</f>
        <v/>
      </c>
      <c r="Y4">
        <f>HYPERLINK("https://klasma.github.io/Logging_2506/tillsynsmail/A 33217-2020 tillsynsbegäran mail.docx", "A 33217-2020")</f>
        <v/>
      </c>
      <c r="Z4">
        <f>HYPERLINK("https://klasma.github.io/Logging_2506/fåglar/A 33217-2020 prioriterade fågelarter.docx", "A 33217-2020")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45583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45583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26852-2024</t>
        </is>
      </c>
      <c r="B7" s="1" t="n">
        <v>45470</v>
      </c>
      <c r="C7" s="1" t="n">
        <v>45583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17.9</v>
      </c>
      <c r="H7" t="n">
        <v>0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Fläckporing
Tajgaskinn
Blågrå svartspik
Dvärgbägarlav
Garnlav
Granticka
Gränsticka
Knottrig blåslav
Nordtagging
Ullticka
Vedflamlav
Vedticka</t>
        </is>
      </c>
      <c r="S7">
        <f>HYPERLINK("https://klasma.github.io/Logging_2506/artfynd/A 26852-2024 artfynd.xlsx", "A 26852-2024")</f>
        <v/>
      </c>
      <c r="T7">
        <f>HYPERLINK("https://klasma.github.io/Logging_2506/kartor/A 26852-2024 karta.png", "A 26852-2024")</f>
        <v/>
      </c>
      <c r="V7">
        <f>HYPERLINK("https://klasma.github.io/Logging_2506/klagomål/A 26852-2024 FSC-klagomål.docx", "A 26852-2024")</f>
        <v/>
      </c>
      <c r="W7">
        <f>HYPERLINK("https://klasma.github.io/Logging_2506/klagomålsmail/A 26852-2024 FSC-klagomål mail.docx", "A 26852-2024")</f>
        <v/>
      </c>
      <c r="X7">
        <f>HYPERLINK("https://klasma.github.io/Logging_2506/tillsyn/A 26852-2024 tillsynsbegäran.docx", "A 26852-2024")</f>
        <v/>
      </c>
      <c r="Y7">
        <f>HYPERLINK("https://klasma.github.io/Logging_2506/tillsynsmail/A 26852-2024 tillsynsbegäran mail.docx", "A 26852-2024")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45583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62068-2019</t>
        </is>
      </c>
      <c r="B9" s="1" t="n">
        <v>43787</v>
      </c>
      <c r="C9" s="1" t="n">
        <v>45583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35</v>
      </c>
      <c r="H9" t="n">
        <v>1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Ostticka
Garnlav
Granticka
Gränsticka
Harticka
Rosenticka
Tretåig hackspett
Tibast</t>
        </is>
      </c>
      <c r="S9">
        <f>HYPERLINK("https://klasma.github.io/Logging_2506/artfynd/A 62068-2019 artfynd.xlsx", "A 62068-2019")</f>
        <v/>
      </c>
      <c r="T9">
        <f>HYPERLINK("https://klasma.github.io/Logging_2506/kartor/A 62068-2019 karta.png", "A 62068-2019")</f>
        <v/>
      </c>
      <c r="V9">
        <f>HYPERLINK("https://klasma.github.io/Logging_2506/klagomål/A 62068-2019 FSC-klagomål.docx", "A 62068-2019")</f>
        <v/>
      </c>
      <c r="W9">
        <f>HYPERLINK("https://klasma.github.io/Logging_2506/klagomålsmail/A 62068-2019 FSC-klagomål mail.docx", "A 62068-2019")</f>
        <v/>
      </c>
      <c r="X9">
        <f>HYPERLINK("https://klasma.github.io/Logging_2506/tillsyn/A 62068-2019 tillsynsbegäran.docx", "A 62068-2019")</f>
        <v/>
      </c>
      <c r="Y9">
        <f>HYPERLINK("https://klasma.github.io/Logging_2506/tillsynsmail/A 62068-2019 tillsynsbegäran mail.docx", "A 62068-2019")</f>
        <v/>
      </c>
      <c r="Z9">
        <f>HYPERLINK("https://klasma.github.io/Logging_2506/fåglar/A 62068-2019 prioriterade fågelarter.docx", "A 62068-2019")</f>
        <v/>
      </c>
    </row>
    <row r="10" ht="15" customHeight="1">
      <c r="A10" t="inlineStr">
        <is>
          <t>A 60734-2020</t>
        </is>
      </c>
      <c r="B10" s="1" t="n">
        <v>44153</v>
      </c>
      <c r="C10" s="1" t="n">
        <v>45583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30.4</v>
      </c>
      <c r="H10" t="n">
        <v>1</v>
      </c>
      <c r="I10" t="n">
        <v>0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8</v>
      </c>
      <c r="R10" s="2" t="inlineStr">
        <is>
          <t>Ostticka
Garnlav
Granticka
Gränsticka
Harticka
Rosenticka
Tretåig hackspett
Ullticka</t>
        </is>
      </c>
      <c r="S10">
        <f>HYPERLINK("https://klasma.github.io/Logging_2506/artfynd/A 60734-2020 artfynd.xlsx", "A 60734-2020")</f>
        <v/>
      </c>
      <c r="T10">
        <f>HYPERLINK("https://klasma.github.io/Logging_2506/kartor/A 60734-2020 karta.png", "A 60734-2020")</f>
        <v/>
      </c>
      <c r="V10">
        <f>HYPERLINK("https://klasma.github.io/Logging_2506/klagomål/A 60734-2020 FSC-klagomål.docx", "A 60734-2020")</f>
        <v/>
      </c>
      <c r="W10">
        <f>HYPERLINK("https://klasma.github.io/Logging_2506/klagomålsmail/A 60734-2020 FSC-klagomål mail.docx", "A 60734-2020")</f>
        <v/>
      </c>
      <c r="X10">
        <f>HYPERLINK("https://klasma.github.io/Logging_2506/tillsyn/A 60734-2020 tillsynsbegäran.docx", "A 60734-2020")</f>
        <v/>
      </c>
      <c r="Y10">
        <f>HYPERLINK("https://klasma.github.io/Logging_2506/tillsynsmail/A 60734-2020 tillsynsbegäran mail.docx", "A 60734-2020")</f>
        <v/>
      </c>
      <c r="Z10">
        <f>HYPERLINK("https://klasma.github.io/Logging_2506/fåglar/A 60734-2020 prioriterade fågelarter.docx", "A 60734-2020")</f>
        <v/>
      </c>
    </row>
    <row r="11" ht="15" customHeight="1">
      <c r="A11" t="inlineStr">
        <is>
          <t>A 15688-2024</t>
        </is>
      </c>
      <c r="B11" s="1" t="n">
        <v>45404</v>
      </c>
      <c r="C11" s="1" t="n">
        <v>45583</v>
      </c>
      <c r="D11" t="inlineStr">
        <is>
          <t>NORRBOTTENS LÄN</t>
        </is>
      </c>
      <c r="E11" t="inlineStr">
        <is>
          <t>ARJEPLOG</t>
        </is>
      </c>
      <c r="G11" t="n">
        <v>4.1</v>
      </c>
      <c r="H11" t="n">
        <v>0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Gräddporing
Blågrå svartspik
Knottrig blåslav
Skrovellav
Stjärntagging
Bårdlav
Luddlav
Stuplav</t>
        </is>
      </c>
      <c r="S11">
        <f>HYPERLINK("https://klasma.github.io/Logging_2506/artfynd/A 15688-2024 artfynd.xlsx", "A 15688-2024")</f>
        <v/>
      </c>
      <c r="T11">
        <f>HYPERLINK("https://klasma.github.io/Logging_2506/kartor/A 15688-2024 karta.png", "A 15688-2024")</f>
        <v/>
      </c>
      <c r="V11">
        <f>HYPERLINK("https://klasma.github.io/Logging_2506/klagomål/A 15688-2024 FSC-klagomål.docx", "A 15688-2024")</f>
        <v/>
      </c>
      <c r="W11">
        <f>HYPERLINK("https://klasma.github.io/Logging_2506/klagomålsmail/A 15688-2024 FSC-klagomål mail.docx", "A 15688-2024")</f>
        <v/>
      </c>
      <c r="X11">
        <f>HYPERLINK("https://klasma.github.io/Logging_2506/tillsyn/A 15688-2024 tillsynsbegäran.docx", "A 15688-2024")</f>
        <v/>
      </c>
      <c r="Y11">
        <f>HYPERLINK("https://klasma.github.io/Logging_2506/tillsynsmail/A 15688-2024 tillsynsbegäran mail.docx", "A 15688-2024")</f>
        <v/>
      </c>
    </row>
    <row r="12" ht="15" customHeight="1">
      <c r="A12" t="inlineStr">
        <is>
          <t>A 4544-2024</t>
        </is>
      </c>
      <c r="B12" s="1" t="n">
        <v>45327</v>
      </c>
      <c r="C12" s="1" t="n">
        <v>45583</v>
      </c>
      <c r="D12" t="inlineStr">
        <is>
          <t>NORRBOTTENS LÄN</t>
        </is>
      </c>
      <c r="E12" t="inlineStr">
        <is>
          <t>ARJEPLOG</t>
        </is>
      </c>
      <c r="G12" t="n">
        <v>6</v>
      </c>
      <c r="H12" t="n">
        <v>0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Rynkskinn
Garnlav
Granticka
Knottrig blåslav
Rosenticka
Ullticka
Blodticka</t>
        </is>
      </c>
      <c r="S12">
        <f>HYPERLINK("https://klasma.github.io/Logging_2506/artfynd/A 4544-2024 artfynd.xlsx", "A 4544-2024")</f>
        <v/>
      </c>
      <c r="T12">
        <f>HYPERLINK("https://klasma.github.io/Logging_2506/kartor/A 4544-2024 karta.png", "A 4544-2024")</f>
        <v/>
      </c>
      <c r="V12">
        <f>HYPERLINK("https://klasma.github.io/Logging_2506/klagomål/A 4544-2024 FSC-klagomål.docx", "A 4544-2024")</f>
        <v/>
      </c>
      <c r="W12">
        <f>HYPERLINK("https://klasma.github.io/Logging_2506/klagomålsmail/A 4544-2024 FSC-klagomål mail.docx", "A 4544-2024")</f>
        <v/>
      </c>
      <c r="X12">
        <f>HYPERLINK("https://klasma.github.io/Logging_2506/tillsyn/A 4544-2024 tillsynsbegäran.docx", "A 4544-2024")</f>
        <v/>
      </c>
      <c r="Y12">
        <f>HYPERLINK("https://klasma.github.io/Logging_2506/tillsynsmail/A 4544-2024 tillsynsbegäran mail.docx", "A 4544-2024")</f>
        <v/>
      </c>
    </row>
    <row r="13" ht="15" customHeight="1">
      <c r="A13" t="inlineStr">
        <is>
          <t>A 59199-2021</t>
        </is>
      </c>
      <c r="B13" s="1" t="n">
        <v>44490</v>
      </c>
      <c r="C13" s="1" t="n">
        <v>45583</v>
      </c>
      <c r="D13" t="inlineStr">
        <is>
          <t>NORRBOTTENS LÄN</t>
        </is>
      </c>
      <c r="E13" t="inlineStr">
        <is>
          <t>ARJEPLOG</t>
        </is>
      </c>
      <c r="G13" t="n">
        <v>16.2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Rynkskinn
Gammelgransskål
Granticka
Gränsticka
Rosenticka
Ullticka</t>
        </is>
      </c>
      <c r="S13">
        <f>HYPERLINK("https://klasma.github.io/Logging_2506/artfynd/A 59199-2021 artfynd.xlsx", "A 59199-2021")</f>
        <v/>
      </c>
      <c r="T13">
        <f>HYPERLINK("https://klasma.github.io/Logging_2506/kartor/A 59199-2021 karta.png", "A 59199-2021")</f>
        <v/>
      </c>
      <c r="V13">
        <f>HYPERLINK("https://klasma.github.io/Logging_2506/klagomål/A 59199-2021 FSC-klagomål.docx", "A 59199-2021")</f>
        <v/>
      </c>
      <c r="W13">
        <f>HYPERLINK("https://klasma.github.io/Logging_2506/klagomålsmail/A 59199-2021 FSC-klagomål mail.docx", "A 59199-2021")</f>
        <v/>
      </c>
      <c r="X13">
        <f>HYPERLINK("https://klasma.github.io/Logging_2506/tillsyn/A 59199-2021 tillsynsbegäran.docx", "A 59199-2021")</f>
        <v/>
      </c>
      <c r="Y13">
        <f>HYPERLINK("https://klasma.github.io/Logging_2506/tillsynsmail/A 59199-2021 tillsynsbegäran mail.docx", "A 59199-2021")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45583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47035-2022</t>
        </is>
      </c>
      <c r="B15" s="1" t="n">
        <v>44851</v>
      </c>
      <c r="C15" s="1" t="n">
        <v>45583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15.9</v>
      </c>
      <c r="H15" t="n">
        <v>3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Månlåsbräken
Grönkulla
Spindelblomster
Tibast
Brudsporre</t>
        </is>
      </c>
      <c r="S15">
        <f>HYPERLINK("https://klasma.github.io/Logging_2506/artfynd/A 47035-2022 artfynd.xlsx", "A 47035-2022")</f>
        <v/>
      </c>
      <c r="T15">
        <f>HYPERLINK("https://klasma.github.io/Logging_2506/kartor/A 47035-2022 karta.png", "A 47035-2022")</f>
        <v/>
      </c>
      <c r="V15">
        <f>HYPERLINK("https://klasma.github.io/Logging_2506/klagomål/A 47035-2022 FSC-klagomål.docx", "A 47035-2022")</f>
        <v/>
      </c>
      <c r="W15">
        <f>HYPERLINK("https://klasma.github.io/Logging_2506/klagomålsmail/A 47035-2022 FSC-klagomål mail.docx", "A 47035-2022")</f>
        <v/>
      </c>
      <c r="X15">
        <f>HYPERLINK("https://klasma.github.io/Logging_2506/tillsyn/A 47035-2022 tillsynsbegäran.docx", "A 47035-2022")</f>
        <v/>
      </c>
      <c r="Y15">
        <f>HYPERLINK("https://klasma.github.io/Logging_2506/tillsynsmail/A 47035-2022 tillsynsbegäran mail.docx", "A 47035-2022")</f>
        <v/>
      </c>
    </row>
    <row r="16" ht="15" customHeight="1">
      <c r="A16" t="inlineStr">
        <is>
          <t>A 64803-2023</t>
        </is>
      </c>
      <c r="B16" s="1" t="n">
        <v>45281</v>
      </c>
      <c r="C16" s="1" t="n">
        <v>45583</v>
      </c>
      <c r="D16" t="inlineStr">
        <is>
          <t>NORRBOTTENS LÄN</t>
        </is>
      </c>
      <c r="E16" t="inlineStr">
        <is>
          <t>ARJEPLOG</t>
        </is>
      </c>
      <c r="G16" t="n">
        <v>43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Gullmurkling
Lunglav
Rosenticka
Ullticka</t>
        </is>
      </c>
      <c r="S16">
        <f>HYPERLINK("https://klasma.github.io/Logging_2506/artfynd/A 64803-2023 artfynd.xlsx", "A 64803-2023")</f>
        <v/>
      </c>
      <c r="T16">
        <f>HYPERLINK("https://klasma.github.io/Logging_2506/kartor/A 64803-2023 karta.png", "A 64803-2023")</f>
        <v/>
      </c>
      <c r="V16">
        <f>HYPERLINK("https://klasma.github.io/Logging_2506/klagomål/A 64803-2023 FSC-klagomål.docx", "A 64803-2023")</f>
        <v/>
      </c>
      <c r="W16">
        <f>HYPERLINK("https://klasma.github.io/Logging_2506/klagomålsmail/A 64803-2023 FSC-klagomål mail.docx", "A 64803-2023")</f>
        <v/>
      </c>
      <c r="X16">
        <f>HYPERLINK("https://klasma.github.io/Logging_2506/tillsyn/A 64803-2023 tillsynsbegäran.docx", "A 64803-2023")</f>
        <v/>
      </c>
      <c r="Y16">
        <f>HYPERLINK("https://klasma.github.io/Logging_2506/tillsynsmail/A 64803-2023 tillsynsbegäran mail.docx", "A 64803-2023")</f>
        <v/>
      </c>
    </row>
    <row r="17" ht="15" customHeight="1">
      <c r="A17" t="inlineStr">
        <is>
          <t>A 15171-2022</t>
        </is>
      </c>
      <c r="B17" s="1" t="n">
        <v>44658</v>
      </c>
      <c r="C17" s="1" t="n">
        <v>45583</v>
      </c>
      <c r="D17" t="inlineStr">
        <is>
          <t>NORRBOTTENS LÄN</t>
        </is>
      </c>
      <c r="E17" t="inlineStr">
        <is>
          <t>ARJEPLOG</t>
        </is>
      </c>
      <c r="G17" t="n">
        <v>48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Lunglav
Tretåig hackspett</t>
        </is>
      </c>
      <c r="S17">
        <f>HYPERLINK("https://klasma.github.io/Logging_2506/artfynd/A 15171-2022 artfynd.xlsx", "A 15171-2022")</f>
        <v/>
      </c>
      <c r="T17">
        <f>HYPERLINK("https://klasma.github.io/Logging_2506/kartor/A 15171-2022 karta.png", "A 15171-2022")</f>
        <v/>
      </c>
      <c r="V17">
        <f>HYPERLINK("https://klasma.github.io/Logging_2506/klagomål/A 15171-2022 FSC-klagomål.docx", "A 15171-2022")</f>
        <v/>
      </c>
      <c r="W17">
        <f>HYPERLINK("https://klasma.github.io/Logging_2506/klagomålsmail/A 15171-2022 FSC-klagomål mail.docx", "A 15171-2022")</f>
        <v/>
      </c>
      <c r="X17">
        <f>HYPERLINK("https://klasma.github.io/Logging_2506/tillsyn/A 15171-2022 tillsynsbegäran.docx", "A 15171-2022")</f>
        <v/>
      </c>
      <c r="Y17">
        <f>HYPERLINK("https://klasma.github.io/Logging_2506/tillsynsmail/A 15171-2022 tillsynsbegäran mail.docx", "A 15171-2022")</f>
        <v/>
      </c>
      <c r="Z17">
        <f>HYPERLINK("https://klasma.github.io/Logging_2506/fåglar/A 15171-2022 prioriterade fågelarter.docx", "A 15171-2022")</f>
        <v/>
      </c>
    </row>
    <row r="18" ht="15" customHeight="1">
      <c r="A18" t="inlineStr">
        <is>
          <t>A 45031-2023</t>
        </is>
      </c>
      <c r="B18" s="1" t="n">
        <v>45190</v>
      </c>
      <c r="C18" s="1" t="n">
        <v>45583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10.3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Granticka</t>
        </is>
      </c>
      <c r="S18">
        <f>HYPERLINK("https://klasma.github.io/Logging_2506/artfynd/A 45031-2023 artfynd.xlsx", "A 45031-2023")</f>
        <v/>
      </c>
      <c r="T18">
        <f>HYPERLINK("https://klasma.github.io/Logging_2506/kartor/A 45031-2023 karta.png", "A 45031-2023")</f>
        <v/>
      </c>
      <c r="V18">
        <f>HYPERLINK("https://klasma.github.io/Logging_2506/klagomål/A 45031-2023 FSC-klagomål.docx", "A 45031-2023")</f>
        <v/>
      </c>
      <c r="W18">
        <f>HYPERLINK("https://klasma.github.io/Logging_2506/klagomålsmail/A 45031-2023 FSC-klagomål mail.docx", "A 45031-2023")</f>
        <v/>
      </c>
      <c r="X18">
        <f>HYPERLINK("https://klasma.github.io/Logging_2506/tillsyn/A 45031-2023 tillsynsbegäran.docx", "A 45031-2023")</f>
        <v/>
      </c>
      <c r="Y18">
        <f>HYPERLINK("https://klasma.github.io/Logging_2506/tillsynsmail/A 45031-2023 tillsynsbegäran mail.docx", "A 45031-2023")</f>
        <v/>
      </c>
    </row>
    <row r="19" ht="15" customHeight="1">
      <c r="A19" t="inlineStr">
        <is>
          <t>A 10525-2024</t>
        </is>
      </c>
      <c r="B19" s="1" t="n">
        <v>45366</v>
      </c>
      <c r="C19" s="1" t="n">
        <v>45583</v>
      </c>
      <c r="D19" t="inlineStr">
        <is>
          <t>NORRBOTTENS LÄN</t>
        </is>
      </c>
      <c r="E19" t="inlineStr">
        <is>
          <t>ARJEPLOG</t>
        </is>
      </c>
      <c r="G19" t="n">
        <v>15.5</v>
      </c>
      <c r="H19" t="n">
        <v>2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Spindelblomster
Ögonpyrola</t>
        </is>
      </c>
      <c r="S19">
        <f>HYPERLINK("https://klasma.github.io/Logging_2506/artfynd/A 10525-2024 artfynd.xlsx", "A 10525-2024")</f>
        <v/>
      </c>
      <c r="T19">
        <f>HYPERLINK("https://klasma.github.io/Logging_2506/kartor/A 10525-2024 karta.png", "A 10525-2024")</f>
        <v/>
      </c>
      <c r="V19">
        <f>HYPERLINK("https://klasma.github.io/Logging_2506/klagomål/A 10525-2024 FSC-klagomål.docx", "A 10525-2024")</f>
        <v/>
      </c>
      <c r="W19">
        <f>HYPERLINK("https://klasma.github.io/Logging_2506/klagomålsmail/A 10525-2024 FSC-klagomål mail.docx", "A 10525-2024")</f>
        <v/>
      </c>
      <c r="X19">
        <f>HYPERLINK("https://klasma.github.io/Logging_2506/tillsyn/A 10525-2024 tillsynsbegäran.docx", "A 10525-2024")</f>
        <v/>
      </c>
      <c r="Y19">
        <f>HYPERLINK("https://klasma.github.io/Logging_2506/tillsynsmail/A 10525-2024 tillsynsbegäran mail.docx", "A 10525-2024")</f>
        <v/>
      </c>
    </row>
    <row r="20" ht="15" customHeight="1">
      <c r="A20" t="inlineStr">
        <is>
          <t>A 45095-2019</t>
        </is>
      </c>
      <c r="B20" s="1" t="n">
        <v>43707</v>
      </c>
      <c r="C20" s="1" t="n">
        <v>45583</v>
      </c>
      <c r="D20" t="inlineStr">
        <is>
          <t>NORRBOTTENS LÄN</t>
        </is>
      </c>
      <c r="E20" t="inlineStr">
        <is>
          <t>ARJEPLOG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Revlummer</t>
        </is>
      </c>
      <c r="S20">
        <f>HYPERLINK("https://klasma.github.io/Logging_2506/artfynd/A 45095-2019 artfynd.xlsx", "A 45095-2019")</f>
        <v/>
      </c>
      <c r="T20">
        <f>HYPERLINK("https://klasma.github.io/Logging_2506/kartor/A 45095-2019 karta.png", "A 45095-2019")</f>
        <v/>
      </c>
      <c r="V20">
        <f>HYPERLINK("https://klasma.github.io/Logging_2506/klagomål/A 45095-2019 FSC-klagomål.docx", "A 45095-2019")</f>
        <v/>
      </c>
      <c r="W20">
        <f>HYPERLINK("https://klasma.github.io/Logging_2506/klagomålsmail/A 45095-2019 FSC-klagomål mail.docx", "A 45095-2019")</f>
        <v/>
      </c>
      <c r="X20">
        <f>HYPERLINK("https://klasma.github.io/Logging_2506/tillsyn/A 45095-2019 tillsynsbegäran.docx", "A 45095-2019")</f>
        <v/>
      </c>
      <c r="Y20">
        <f>HYPERLINK("https://klasma.github.io/Logging_2506/tillsynsmail/A 45095-2019 tillsynsbegäran mail.docx", "A 45095-2019")</f>
        <v/>
      </c>
    </row>
    <row r="21" ht="15" customHeight="1">
      <c r="A21" t="inlineStr">
        <is>
          <t>A 14684-2021</t>
        </is>
      </c>
      <c r="B21" s="1" t="n">
        <v>44280</v>
      </c>
      <c r="C21" s="1" t="n">
        <v>45583</v>
      </c>
      <c r="D21" t="inlineStr">
        <is>
          <t>NORRBOTTENS LÄN</t>
        </is>
      </c>
      <c r="E21" t="inlineStr">
        <is>
          <t>ARJEPLOG</t>
        </is>
      </c>
      <c r="G21" t="n">
        <v>26.6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Tretåig hackspett
Ullticka</t>
        </is>
      </c>
      <c r="S21">
        <f>HYPERLINK("https://klasma.github.io/Logging_2506/artfynd/A 14684-2021 artfynd.xlsx", "A 14684-2021")</f>
        <v/>
      </c>
      <c r="T21">
        <f>HYPERLINK("https://klasma.github.io/Logging_2506/kartor/A 14684-2021 karta.png", "A 14684-2021")</f>
        <v/>
      </c>
      <c r="V21">
        <f>HYPERLINK("https://klasma.github.io/Logging_2506/klagomål/A 14684-2021 FSC-klagomål.docx", "A 14684-2021")</f>
        <v/>
      </c>
      <c r="W21">
        <f>HYPERLINK("https://klasma.github.io/Logging_2506/klagomålsmail/A 14684-2021 FSC-klagomål mail.docx", "A 14684-2021")</f>
        <v/>
      </c>
      <c r="X21">
        <f>HYPERLINK("https://klasma.github.io/Logging_2506/tillsyn/A 14684-2021 tillsynsbegäran.docx", "A 14684-2021")</f>
        <v/>
      </c>
      <c r="Y21">
        <f>HYPERLINK("https://klasma.github.io/Logging_2506/tillsynsmail/A 14684-2021 tillsynsbegäran mail.docx", "A 14684-2021")</f>
        <v/>
      </c>
      <c r="Z21">
        <f>HYPERLINK("https://klasma.github.io/Logging_2506/fåglar/A 14684-2021 prioriterade fågelarter.docx", "A 14684-2021")</f>
        <v/>
      </c>
    </row>
    <row r="22" ht="15" customHeight="1">
      <c r="A22" t="inlineStr">
        <is>
          <t>A 17549-2023</t>
        </is>
      </c>
      <c r="B22" s="1" t="n">
        <v>45034</v>
      </c>
      <c r="C22" s="1" t="n">
        <v>45583</v>
      </c>
      <c r="D22" t="inlineStr">
        <is>
          <t>NORRBOTTENS LÄN</t>
        </is>
      </c>
      <c r="E22" t="inlineStr">
        <is>
          <t>ARJEPLOG</t>
        </is>
      </c>
      <c r="G22" t="n">
        <v>18.8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Tretåig hackspett</t>
        </is>
      </c>
      <c r="S22">
        <f>HYPERLINK("https://klasma.github.io/Logging_2506/artfynd/A 17549-2023 artfynd.xlsx", "A 17549-2023")</f>
        <v/>
      </c>
      <c r="T22">
        <f>HYPERLINK("https://klasma.github.io/Logging_2506/kartor/A 17549-2023 karta.png", "A 17549-2023")</f>
        <v/>
      </c>
      <c r="V22">
        <f>HYPERLINK("https://klasma.github.io/Logging_2506/klagomål/A 17549-2023 FSC-klagomål.docx", "A 17549-2023")</f>
        <v/>
      </c>
      <c r="W22">
        <f>HYPERLINK("https://klasma.github.io/Logging_2506/klagomålsmail/A 17549-2023 FSC-klagomål mail.docx", "A 17549-2023")</f>
        <v/>
      </c>
      <c r="X22">
        <f>HYPERLINK("https://klasma.github.io/Logging_2506/tillsyn/A 17549-2023 tillsynsbegäran.docx", "A 17549-2023")</f>
        <v/>
      </c>
      <c r="Y22">
        <f>HYPERLINK("https://klasma.github.io/Logging_2506/tillsynsmail/A 17549-2023 tillsynsbegäran mail.docx", "A 17549-2023")</f>
        <v/>
      </c>
      <c r="Z22">
        <f>HYPERLINK("https://klasma.github.io/Logging_2506/fåglar/A 17549-2023 prioriterade fågelarter.docx", "A 17549-2023")</f>
        <v/>
      </c>
    </row>
    <row r="23" ht="15" customHeight="1">
      <c r="A23" t="inlineStr">
        <is>
          <t>A 45030-2023</t>
        </is>
      </c>
      <c r="B23" s="1" t="n">
        <v>45190</v>
      </c>
      <c r="C23" s="1" t="n">
        <v>45583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Harticka
Ullticka</t>
        </is>
      </c>
      <c r="S23">
        <f>HYPERLINK("https://klasma.github.io/Logging_2506/artfynd/A 45030-2023 artfynd.xlsx", "A 45030-2023")</f>
        <v/>
      </c>
      <c r="T23">
        <f>HYPERLINK("https://klasma.github.io/Logging_2506/kartor/A 45030-2023 karta.png", "A 45030-2023")</f>
        <v/>
      </c>
      <c r="V23">
        <f>HYPERLINK("https://klasma.github.io/Logging_2506/klagomål/A 45030-2023 FSC-klagomål.docx", "A 45030-2023")</f>
        <v/>
      </c>
      <c r="W23">
        <f>HYPERLINK("https://klasma.github.io/Logging_2506/klagomålsmail/A 45030-2023 FSC-klagomål mail.docx", "A 45030-2023")</f>
        <v/>
      </c>
      <c r="X23">
        <f>HYPERLINK("https://klasma.github.io/Logging_2506/tillsyn/A 45030-2023 tillsynsbegäran.docx", "A 45030-2023")</f>
        <v/>
      </c>
      <c r="Y23">
        <f>HYPERLINK("https://klasma.github.io/Logging_2506/tillsynsmail/A 45030-2023 tillsynsbegäran mail.docx", "A 45030-2023")</f>
        <v/>
      </c>
    </row>
    <row r="24" ht="15" customHeight="1">
      <c r="A24" t="inlineStr">
        <is>
          <t>A 45032-2023</t>
        </is>
      </c>
      <c r="B24" s="1" t="n">
        <v>45190</v>
      </c>
      <c r="C24" s="1" t="n">
        <v>45583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HYPERLINK("https://klasma.github.io/Logging_2506/artfynd/A 45032-2023 artfynd.xlsx", "A 45032-2023")</f>
        <v/>
      </c>
      <c r="T24">
        <f>HYPERLINK("https://klasma.github.io/Logging_2506/kartor/A 45032-2023 karta.png", "A 45032-2023")</f>
        <v/>
      </c>
      <c r="V24">
        <f>HYPERLINK("https://klasma.github.io/Logging_2506/klagomål/A 45032-2023 FSC-klagomål.docx", "A 45032-2023")</f>
        <v/>
      </c>
      <c r="W24">
        <f>HYPERLINK("https://klasma.github.io/Logging_2506/klagomålsmail/A 45032-2023 FSC-klagomål mail.docx", "A 45032-2023")</f>
        <v/>
      </c>
      <c r="X24">
        <f>HYPERLINK("https://klasma.github.io/Logging_2506/tillsyn/A 45032-2023 tillsynsbegäran.docx", "A 45032-2023")</f>
        <v/>
      </c>
      <c r="Y24">
        <f>HYPERLINK("https://klasma.github.io/Logging_2506/tillsynsmail/A 45032-2023 tillsynsbegäran mail.docx", "A 45032-2023")</f>
        <v/>
      </c>
      <c r="Z24">
        <f>HYPERLINK("https://klasma.github.io/Logging_2506/fåglar/A 45032-2023 prioriterade fågelarter.docx", "A 45032-2023")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45583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45583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45583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45583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45583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45583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45583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45583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45583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45583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45583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45583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45583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45583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45583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45583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45583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45583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45583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45583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45583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45583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45583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45583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45583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45583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45583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45583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45583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45583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45583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45583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45583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45583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45583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45583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45583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45583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45583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45583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45583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45583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45583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45583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45583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45583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45583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45583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45583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45583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45583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45583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45583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45583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45583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45583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45583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45583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45583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45583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45583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45583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45583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45583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45583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45583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45583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45583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45583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45583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45583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45583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45583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45583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45583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45583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45583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45583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45583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45583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45583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45583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45583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45583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45583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45583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45583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45583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45583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45583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45583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45583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45583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45583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45583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45583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45583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45583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45583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45583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45583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45583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45583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45583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45583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45583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45583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45583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45583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45583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45583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45583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45583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45583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45583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45583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45583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45583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45583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45583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45583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45583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45583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45583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45583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45583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45583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45583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45583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45583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45583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45583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45583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45583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42502-2024</t>
        </is>
      </c>
      <c r="B159" s="1" t="n">
        <v>45565</v>
      </c>
      <c r="C159" s="1" t="n">
        <v>45583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45014-2024</t>
        </is>
      </c>
      <c r="B160" s="1" t="n">
        <v>45575</v>
      </c>
      <c r="C160" s="1" t="n">
        <v>45583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44976-2024</t>
        </is>
      </c>
      <c r="B161" s="1" t="n">
        <v>45575</v>
      </c>
      <c r="C161" s="1" t="n">
        <v>45583</v>
      </c>
      <c r="D161" t="inlineStr">
        <is>
          <t>NORRBOTTENS LÄN</t>
        </is>
      </c>
      <c r="E161" t="inlineStr">
        <is>
          <t>ARJEPLOG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45332-2024</t>
        </is>
      </c>
      <c r="B162" s="1" t="n">
        <v>45576</v>
      </c>
      <c r="C162" s="1" t="n">
        <v>45583</v>
      </c>
      <c r="D162" t="inlineStr">
        <is>
          <t>NORRBOTTENS LÄN</t>
        </is>
      </c>
      <c r="E162" t="inlineStr">
        <is>
          <t>ARJEPLOG</t>
        </is>
      </c>
      <c r="F162" t="inlineStr">
        <is>
          <t>Sveaskog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45583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45583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45779-2024</t>
        </is>
      </c>
      <c r="B165" s="1" t="n">
        <v>45579</v>
      </c>
      <c r="C165" s="1" t="n">
        <v>45583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2024-10-18T13:16:30Z</dcterms:created>
  <dcterms:modified xmlns:dcterms="http://purl.org/dc/terms/" xmlns:xsi="http://www.w3.org/2001/XMLSchema-instance" xsi:type="dcterms:W3CDTF">2024-10-18T13:16:30Z</dcterms:modified>
</cp:coreProperties>
</file>