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45792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45792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42502-2024</t>
        </is>
      </c>
      <c r="B4" s="1" t="n">
        <v>45565</v>
      </c>
      <c r="C4" s="1" t="n">
        <v>45792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25.4</v>
      </c>
      <c r="H4" t="n">
        <v>3</v>
      </c>
      <c r="I4" t="n">
        <v>3</v>
      </c>
      <c r="J4" t="n">
        <v>12</v>
      </c>
      <c r="K4" t="n">
        <v>4</v>
      </c>
      <c r="L4" t="n">
        <v>0</v>
      </c>
      <c r="M4" t="n">
        <v>0</v>
      </c>
      <c r="N4" t="n">
        <v>0</v>
      </c>
      <c r="O4" t="n">
        <v>16</v>
      </c>
      <c r="P4" t="n">
        <v>4</v>
      </c>
      <c r="Q4" t="n">
        <v>19</v>
      </c>
      <c r="R4" s="2" t="inlineStr">
        <is>
          <t>Ostticka
Rynkskinn
Tallbit
Ulltickeporing
Brunpudrad nållav
Doftskinn
Gammelgransskål
Garnlav
Granticka
Gränsticka
Harticka
Knottrig blåslav
Rosenticka
Talltita
Tretåig hackspett
Ullticka
Blodticka
Trådticka
Vedticka</t>
        </is>
      </c>
      <c r="S4">
        <f>HYPERLINK("https://klasma.github.io/Logging_2506/artfynd/A 42502-2024 artfynd.xlsx", "A 42502-2024")</f>
        <v/>
      </c>
      <c r="T4">
        <f>HYPERLINK("https://klasma.github.io/Logging_2506/kartor/A 42502-2024 karta.png", "A 42502-2024")</f>
        <v/>
      </c>
      <c r="V4">
        <f>HYPERLINK("https://klasma.github.io/Logging_2506/klagomål/A 42502-2024 FSC-klagomål.docx", "A 42502-2024")</f>
        <v/>
      </c>
      <c r="W4">
        <f>HYPERLINK("https://klasma.github.io/Logging_2506/klagomålsmail/A 42502-2024 FSC-klagomål mail.docx", "A 42502-2024")</f>
        <v/>
      </c>
      <c r="X4">
        <f>HYPERLINK("https://klasma.github.io/Logging_2506/tillsyn/A 42502-2024 tillsynsbegäran.docx", "A 42502-2024")</f>
        <v/>
      </c>
      <c r="Y4">
        <f>HYPERLINK("https://klasma.github.io/Logging_2506/tillsynsmail/A 42502-2024 tillsynsbegäran mail.docx", "A 42502-2024")</f>
        <v/>
      </c>
      <c r="Z4">
        <f>HYPERLINK("https://klasma.github.io/Logging_2506/fåglar/A 42502-2024 prioriterade fågelarter.docx", "A 42502-2024")</f>
        <v/>
      </c>
    </row>
    <row r="5" ht="15" customHeight="1">
      <c r="A5" t="inlineStr">
        <is>
          <t>A 33217-2020</t>
        </is>
      </c>
      <c r="B5" s="1" t="n">
        <v>44020</v>
      </c>
      <c r="C5" s="1" t="n">
        <v>45792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56.5</v>
      </c>
      <c r="H5" t="n">
        <v>1</v>
      </c>
      <c r="I5" t="n">
        <v>1</v>
      </c>
      <c r="J5" t="n">
        <v>12</v>
      </c>
      <c r="K5" t="n">
        <v>2</v>
      </c>
      <c r="L5" t="n">
        <v>1</v>
      </c>
      <c r="M5" t="n">
        <v>0</v>
      </c>
      <c r="N5" t="n">
        <v>0</v>
      </c>
      <c r="O5" t="n">
        <v>15</v>
      </c>
      <c r="P5" t="n">
        <v>3</v>
      </c>
      <c r="Q5" t="n">
        <v>16</v>
      </c>
      <c r="R5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5">
        <f>HYPERLINK("https://klasma.github.io/Logging_2506/artfynd/A 33217-2020 artfynd.xlsx", "A 33217-2020")</f>
        <v/>
      </c>
      <c r="T5">
        <f>HYPERLINK("https://klasma.github.io/Logging_2506/kartor/A 33217-2020 karta.png", "A 33217-2020")</f>
        <v/>
      </c>
      <c r="V5">
        <f>HYPERLINK("https://klasma.github.io/Logging_2506/klagomål/A 33217-2020 FSC-klagomål.docx", "A 33217-2020")</f>
        <v/>
      </c>
      <c r="W5">
        <f>HYPERLINK("https://klasma.github.io/Logging_2506/klagomålsmail/A 33217-2020 FSC-klagomål mail.docx", "A 33217-2020")</f>
        <v/>
      </c>
      <c r="X5">
        <f>HYPERLINK("https://klasma.github.io/Logging_2506/tillsyn/A 33217-2020 tillsynsbegäran.docx", "A 33217-2020")</f>
        <v/>
      </c>
      <c r="Y5">
        <f>HYPERLINK("https://klasma.github.io/Logging_2506/tillsynsmail/A 33217-2020 tillsynsbegäran mail.docx", "A 33217-2020")</f>
        <v/>
      </c>
      <c r="Z5">
        <f>HYPERLINK("https://klasma.github.io/Logging_2506/fåglar/A 33217-2020 prioriterade fågelarter.docx", "A 33217-2020")</f>
        <v/>
      </c>
    </row>
    <row r="6" ht="15" customHeight="1">
      <c r="A6" t="inlineStr">
        <is>
          <t>A 12071-2023</t>
        </is>
      </c>
      <c r="B6" s="1" t="n">
        <v>44997</v>
      </c>
      <c r="C6" s="1" t="n">
        <v>45792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149.8</v>
      </c>
      <c r="H6" t="n">
        <v>4</v>
      </c>
      <c r="I6" t="n">
        <v>5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16</v>
      </c>
      <c r="R6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6">
        <f>HYPERLINK("https://klasma.github.io/Logging_2506/artfynd/A 12071-2023 artfynd.xlsx", "A 12071-2023")</f>
        <v/>
      </c>
      <c r="T6">
        <f>HYPERLINK("https://klasma.github.io/Logging_2506/kartor/A 12071-2023 karta.png", "A 12071-2023")</f>
        <v/>
      </c>
      <c r="V6">
        <f>HYPERLINK("https://klasma.github.io/Logging_2506/klagomål/A 12071-2023 FSC-klagomål.docx", "A 12071-2023")</f>
        <v/>
      </c>
      <c r="W6">
        <f>HYPERLINK("https://klasma.github.io/Logging_2506/klagomålsmail/A 12071-2023 FSC-klagomål mail.docx", "A 12071-2023")</f>
        <v/>
      </c>
      <c r="X6">
        <f>HYPERLINK("https://klasma.github.io/Logging_2506/tillsyn/A 12071-2023 tillsynsbegäran.docx", "A 12071-2023")</f>
        <v/>
      </c>
      <c r="Y6">
        <f>HYPERLINK("https://klasma.github.io/Logging_2506/tillsynsmail/A 12071-2023 tillsynsbegäran mail.docx", "A 12071-2023")</f>
        <v/>
      </c>
      <c r="Z6">
        <f>HYPERLINK("https://klasma.github.io/Logging_2506/fåglar/A 12071-2023 prioriterade fågelarter.docx", "A 12071-2023")</f>
        <v/>
      </c>
    </row>
    <row r="7" ht="15" customHeight="1">
      <c r="A7" t="inlineStr">
        <is>
          <t>A 64805-2023</t>
        </is>
      </c>
      <c r="B7" s="1" t="n">
        <v>45281</v>
      </c>
      <c r="C7" s="1" t="n">
        <v>45792</v>
      </c>
      <c r="D7" t="inlineStr">
        <is>
          <t>NORRBOTTENS LÄN</t>
        </is>
      </c>
      <c r="E7" t="inlineStr">
        <is>
          <t>ARJEPLOG</t>
        </is>
      </c>
      <c r="F7" t="inlineStr">
        <is>
          <t>Sveaskog</t>
        </is>
      </c>
      <c r="G7" t="n">
        <v>12.7</v>
      </c>
      <c r="H7" t="n">
        <v>1</v>
      </c>
      <c r="I7" t="n">
        <v>3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15</v>
      </c>
      <c r="R7" s="2" t="inlineStr">
        <is>
          <t>Ostticka
Rynkskinn
Gammelgransskål
Garnlav
Granticka
Gränsticka
Harticka
Knottrig blåslav
Rosenticka
Skrovellav
Tretåig hackspett
Ullticka
Blodticka
Luddlav
Vedticka</t>
        </is>
      </c>
      <c r="S7">
        <f>HYPERLINK("https://klasma.github.io/Logging_2506/artfynd/A 64805-2023 artfynd.xlsx", "A 64805-2023")</f>
        <v/>
      </c>
      <c r="T7">
        <f>HYPERLINK("https://klasma.github.io/Logging_2506/kartor/A 64805-2023 karta.png", "A 64805-2023")</f>
        <v/>
      </c>
      <c r="V7">
        <f>HYPERLINK("https://klasma.github.io/Logging_2506/klagomål/A 64805-2023 FSC-klagomål.docx", "A 64805-2023")</f>
        <v/>
      </c>
      <c r="W7">
        <f>HYPERLINK("https://klasma.github.io/Logging_2506/klagomålsmail/A 64805-2023 FSC-klagomål mail.docx", "A 64805-2023")</f>
        <v/>
      </c>
      <c r="X7">
        <f>HYPERLINK("https://klasma.github.io/Logging_2506/tillsyn/A 64805-2023 tillsynsbegäran.docx", "A 64805-2023")</f>
        <v/>
      </c>
      <c r="Y7">
        <f>HYPERLINK("https://klasma.github.io/Logging_2506/tillsynsmail/A 64805-2023 tillsynsbegäran mail.docx", "A 64805-2023")</f>
        <v/>
      </c>
      <c r="Z7">
        <f>HYPERLINK("https://klasma.github.io/Logging_2506/fåglar/A 64805-2023 prioriterade fågelarter.docx", "A 64805-2023")</f>
        <v/>
      </c>
    </row>
    <row r="8" ht="15" customHeight="1">
      <c r="A8" t="inlineStr">
        <is>
          <t>A 26852-2024</t>
        </is>
      </c>
      <c r="B8" s="1" t="n">
        <v>45470</v>
      </c>
      <c r="C8" s="1" t="n">
        <v>45792</v>
      </c>
      <c r="D8" t="inlineStr">
        <is>
          <t>NORRBOTTENS LÄN</t>
        </is>
      </c>
      <c r="E8" t="inlineStr">
        <is>
          <t>ARJEPLOG</t>
        </is>
      </c>
      <c r="F8" t="inlineStr">
        <is>
          <t>Allmännings- och besparingsskogar</t>
        </is>
      </c>
      <c r="G8" t="n">
        <v>17.9</v>
      </c>
      <c r="H8" t="n">
        <v>0</v>
      </c>
      <c r="I8" t="n">
        <v>1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12</v>
      </c>
      <c r="R8" s="2" t="inlineStr">
        <is>
          <t>Fläckporing
Tajgaskinn
Blågrå svartspik
Dvärgbägarlav
Garnlav
Granticka
Gränsticka
Knottrig blåslav
Nordtagging
Ullticka
Vedflamlav
Vedticka</t>
        </is>
      </c>
      <c r="S8">
        <f>HYPERLINK("https://klasma.github.io/Logging_2506/artfynd/A 26852-2024 artfynd.xlsx", "A 26852-2024")</f>
        <v/>
      </c>
      <c r="T8">
        <f>HYPERLINK("https://klasma.github.io/Logging_2506/kartor/A 26852-2024 karta.png", "A 26852-2024")</f>
        <v/>
      </c>
      <c r="V8">
        <f>HYPERLINK("https://klasma.github.io/Logging_2506/klagomål/A 26852-2024 FSC-klagomål.docx", "A 26852-2024")</f>
        <v/>
      </c>
      <c r="W8">
        <f>HYPERLINK("https://klasma.github.io/Logging_2506/klagomålsmail/A 26852-2024 FSC-klagomål mail.docx", "A 26852-2024")</f>
        <v/>
      </c>
      <c r="X8">
        <f>HYPERLINK("https://klasma.github.io/Logging_2506/tillsyn/A 26852-2024 tillsynsbegäran.docx", "A 26852-2024")</f>
        <v/>
      </c>
      <c r="Y8">
        <f>HYPERLINK("https://klasma.github.io/Logging_2506/tillsynsmail/A 26852-2024 tillsynsbegäran mail.docx", "A 26852-2024")</f>
        <v/>
      </c>
    </row>
    <row r="9" ht="15" customHeight="1">
      <c r="A9" t="inlineStr">
        <is>
          <t>A 26954-2022</t>
        </is>
      </c>
      <c r="B9" s="1" t="n">
        <v>44740</v>
      </c>
      <c r="C9" s="1" t="n">
        <v>45792</v>
      </c>
      <c r="D9" t="inlineStr">
        <is>
          <t>NORRBOTTENS LÄN</t>
        </is>
      </c>
      <c r="E9" t="inlineStr">
        <is>
          <t>ARJEPLOG</t>
        </is>
      </c>
      <c r="F9" t="inlineStr">
        <is>
          <t>Allmännings- och besparingsskogar</t>
        </is>
      </c>
      <c r="G9" t="n">
        <v>10.4</v>
      </c>
      <c r="H9" t="n">
        <v>2</v>
      </c>
      <c r="I9" t="n">
        <v>0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Blanksvart spiklav
Blå taggsvamp
Granticka
Gropig brunbagge
Ladlav
Nordtagging
Orange taggsvamp
Tretåig hackspett
Vedflamlav
Vedskivlav
Vanlig padda</t>
        </is>
      </c>
      <c r="S9">
        <f>HYPERLINK("https://klasma.github.io/Logging_2506/artfynd/A 26954-2022 artfynd.xlsx", "A 26954-2022")</f>
        <v/>
      </c>
      <c r="T9">
        <f>HYPERLINK("https://klasma.github.io/Logging_2506/kartor/A 26954-2022 karta.png", "A 26954-2022")</f>
        <v/>
      </c>
      <c r="V9">
        <f>HYPERLINK("https://klasma.github.io/Logging_2506/klagomål/A 26954-2022 FSC-klagomål.docx", "A 26954-2022")</f>
        <v/>
      </c>
      <c r="W9">
        <f>HYPERLINK("https://klasma.github.io/Logging_2506/klagomålsmail/A 26954-2022 FSC-klagomål mail.docx", "A 26954-2022")</f>
        <v/>
      </c>
      <c r="X9">
        <f>HYPERLINK("https://klasma.github.io/Logging_2506/tillsyn/A 26954-2022 tillsynsbegäran.docx", "A 26954-2022")</f>
        <v/>
      </c>
      <c r="Y9">
        <f>HYPERLINK("https://klasma.github.io/Logging_2506/tillsynsmail/A 26954-2022 tillsynsbegäran mail.docx", "A 26954-2022")</f>
        <v/>
      </c>
      <c r="Z9">
        <f>HYPERLINK("https://klasma.github.io/Logging_2506/fåglar/A 26954-2022 prioriterade fågelarter.docx", "A 26954-2022")</f>
        <v/>
      </c>
    </row>
    <row r="10" ht="15" customHeight="1">
      <c r="A10" t="inlineStr">
        <is>
          <t>A 62068-2019</t>
        </is>
      </c>
      <c r="B10" s="1" t="n">
        <v>43787</v>
      </c>
      <c r="C10" s="1" t="n">
        <v>45792</v>
      </c>
      <c r="D10" t="inlineStr">
        <is>
          <t>NORRBOTTENS LÄN</t>
        </is>
      </c>
      <c r="E10" t="inlineStr">
        <is>
          <t>ARJEPLOG</t>
        </is>
      </c>
      <c r="F10" t="inlineStr">
        <is>
          <t>Övriga statliga verk och myndigheter</t>
        </is>
      </c>
      <c r="G10" t="n">
        <v>35</v>
      </c>
      <c r="H10" t="n">
        <v>1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8</v>
      </c>
      <c r="R10" s="2" t="inlineStr">
        <is>
          <t>Ostticka
Garnlav
Granticka
Gränsticka
Harticka
Rosenticka
Tretåig hackspett
Tibast</t>
        </is>
      </c>
      <c r="S10">
        <f>HYPERLINK("https://klasma.github.io/Logging_2506/artfynd/A 62068-2019 artfynd.xlsx", "A 62068-2019")</f>
        <v/>
      </c>
      <c r="T10">
        <f>HYPERLINK("https://klasma.github.io/Logging_2506/kartor/A 62068-2019 karta.png", "A 62068-2019")</f>
        <v/>
      </c>
      <c r="V10">
        <f>HYPERLINK("https://klasma.github.io/Logging_2506/klagomål/A 62068-2019 FSC-klagomål.docx", "A 62068-2019")</f>
        <v/>
      </c>
      <c r="W10">
        <f>HYPERLINK("https://klasma.github.io/Logging_2506/klagomålsmail/A 62068-2019 FSC-klagomål mail.docx", "A 62068-2019")</f>
        <v/>
      </c>
      <c r="X10">
        <f>HYPERLINK("https://klasma.github.io/Logging_2506/tillsyn/A 62068-2019 tillsynsbegäran.docx", "A 62068-2019")</f>
        <v/>
      </c>
      <c r="Y10">
        <f>HYPERLINK("https://klasma.github.io/Logging_2506/tillsynsmail/A 62068-2019 tillsynsbegäran mail.docx", "A 62068-2019")</f>
        <v/>
      </c>
      <c r="Z10">
        <f>HYPERLINK("https://klasma.github.io/Logging_2506/fåglar/A 62068-2019 prioriterade fågelarter.docx", "A 62068-2019")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45792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15688-2024</t>
        </is>
      </c>
      <c r="B12" s="1" t="n">
        <v>45404</v>
      </c>
      <c r="C12" s="1" t="n">
        <v>45792</v>
      </c>
      <c r="D12" t="inlineStr">
        <is>
          <t>NORRBOTTENS LÄN</t>
        </is>
      </c>
      <c r="E12" t="inlineStr">
        <is>
          <t>ARJEPLOG</t>
        </is>
      </c>
      <c r="G12" t="n">
        <v>4.1</v>
      </c>
      <c r="H12" t="n">
        <v>0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Gräddporing
Blågrå svartspik
Knottrig blåslav
Skrovellav
Stjärntagging
Bårdlav
Luddlav
Stuplav</t>
        </is>
      </c>
      <c r="S12">
        <f>HYPERLINK("https://klasma.github.io/Logging_2506/artfynd/A 15688-2024 artfynd.xlsx", "A 15688-2024")</f>
        <v/>
      </c>
      <c r="T12">
        <f>HYPERLINK("https://klasma.github.io/Logging_2506/kartor/A 15688-2024 karta.png", "A 15688-2024")</f>
        <v/>
      </c>
      <c r="V12">
        <f>HYPERLINK("https://klasma.github.io/Logging_2506/klagomål/A 15688-2024 FSC-klagomål.docx", "A 15688-2024")</f>
        <v/>
      </c>
      <c r="W12">
        <f>HYPERLINK("https://klasma.github.io/Logging_2506/klagomålsmail/A 15688-2024 FSC-klagomål mail.docx", "A 15688-2024")</f>
        <v/>
      </c>
      <c r="X12">
        <f>HYPERLINK("https://klasma.github.io/Logging_2506/tillsyn/A 15688-2024 tillsynsbegäran.docx", "A 15688-2024")</f>
        <v/>
      </c>
      <c r="Y12">
        <f>HYPERLINK("https://klasma.github.io/Logging_2506/tillsynsmail/A 15688-2024 tillsynsbegäran mail.docx", "A 15688-2024")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45792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45792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45792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45792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45792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15171-2022</t>
        </is>
      </c>
      <c r="B18" s="1" t="n">
        <v>44658</v>
      </c>
      <c r="C18" s="1" t="n">
        <v>45792</v>
      </c>
      <c r="D18" t="inlineStr">
        <is>
          <t>NORRBOTTENS LÄN</t>
        </is>
      </c>
      <c r="E18" t="inlineStr">
        <is>
          <t>ARJEPLOG</t>
        </is>
      </c>
      <c r="G18" t="n">
        <v>48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Lunglav
Tretåig hackspett</t>
        </is>
      </c>
      <c r="S18">
        <f>HYPERLINK("https://klasma.github.io/Logging_2506/artfynd/A 15171-2022 artfynd.xlsx", "A 15171-2022")</f>
        <v/>
      </c>
      <c r="T18">
        <f>HYPERLINK("https://klasma.github.io/Logging_2506/kartor/A 15171-2022 karta.png", "A 15171-2022")</f>
        <v/>
      </c>
      <c r="V18">
        <f>HYPERLINK("https://klasma.github.io/Logging_2506/klagomål/A 15171-2022 FSC-klagomål.docx", "A 15171-2022")</f>
        <v/>
      </c>
      <c r="W18">
        <f>HYPERLINK("https://klasma.github.io/Logging_2506/klagomålsmail/A 15171-2022 FSC-klagomål mail.docx", "A 15171-2022")</f>
        <v/>
      </c>
      <c r="X18">
        <f>HYPERLINK("https://klasma.github.io/Logging_2506/tillsyn/A 15171-2022 tillsynsbegäran.docx", "A 15171-2022")</f>
        <v/>
      </c>
      <c r="Y18">
        <f>HYPERLINK("https://klasma.github.io/Logging_2506/tillsynsmail/A 15171-2022 tillsynsbegäran mail.docx", "A 15171-2022")</f>
        <v/>
      </c>
      <c r="Z18">
        <f>HYPERLINK("https://klasma.github.io/Logging_2506/fåglar/A 15171-2022 prioriterade fågelarter.docx", "A 15171-2022")</f>
        <v/>
      </c>
    </row>
    <row r="19" ht="15" customHeight="1">
      <c r="A19" t="inlineStr">
        <is>
          <t>A 45031-2023</t>
        </is>
      </c>
      <c r="B19" s="1" t="n">
        <v>45190</v>
      </c>
      <c r="C19" s="1" t="n">
        <v>45792</v>
      </c>
      <c r="D19" t="inlineStr">
        <is>
          <t>NORRBOTTENS LÄN</t>
        </is>
      </c>
      <c r="E19" t="inlineStr">
        <is>
          <t>ARJEPLOG</t>
        </is>
      </c>
      <c r="F19" t="inlineStr">
        <is>
          <t>Övriga statliga verk och myndigheter</t>
        </is>
      </c>
      <c r="G19" t="n">
        <v>10.3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Gammelgransskål
Garnlav
Granticka</t>
        </is>
      </c>
      <c r="S19">
        <f>HYPERLINK("https://klasma.github.io/Logging_2506/artfynd/A 45031-2023 artfynd.xlsx", "A 45031-2023")</f>
        <v/>
      </c>
      <c r="T19">
        <f>HYPERLINK("https://klasma.github.io/Logging_2506/kartor/A 45031-2023 karta.png", "A 45031-2023")</f>
        <v/>
      </c>
      <c r="V19">
        <f>HYPERLINK("https://klasma.github.io/Logging_2506/klagomål/A 45031-2023 FSC-klagomål.docx", "A 45031-2023")</f>
        <v/>
      </c>
      <c r="W19">
        <f>HYPERLINK("https://klasma.github.io/Logging_2506/klagomålsmail/A 45031-2023 FSC-klagomål mail.docx", "A 45031-2023")</f>
        <v/>
      </c>
      <c r="X19">
        <f>HYPERLINK("https://klasma.github.io/Logging_2506/tillsyn/A 45031-2023 tillsynsbegäran.docx", "A 45031-2023")</f>
        <v/>
      </c>
      <c r="Y19">
        <f>HYPERLINK("https://klasma.github.io/Logging_2506/tillsynsmail/A 45031-2023 tillsynsbegäran mail.docx", "A 45031-2023")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45792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45095-2019</t>
        </is>
      </c>
      <c r="B21" s="1" t="n">
        <v>43707</v>
      </c>
      <c r="C21" s="1" t="n">
        <v>45792</v>
      </c>
      <c r="D21" t="inlineStr">
        <is>
          <t>NORRBOTTENS LÄN</t>
        </is>
      </c>
      <c r="E21" t="inlineStr">
        <is>
          <t>ARJEPLOG</t>
        </is>
      </c>
      <c r="G21" t="n">
        <v>9.9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Plattlummer
Revlummer</t>
        </is>
      </c>
      <c r="S21">
        <f>HYPERLINK("https://klasma.github.io/Logging_2506/artfynd/A 45095-2019 artfynd.xlsx", "A 45095-2019")</f>
        <v/>
      </c>
      <c r="T21">
        <f>HYPERLINK("https://klasma.github.io/Logging_2506/kartor/A 45095-2019 karta.png", "A 45095-2019")</f>
        <v/>
      </c>
      <c r="V21">
        <f>HYPERLINK("https://klasma.github.io/Logging_2506/klagomål/A 45095-2019 FSC-klagomål.docx", "A 45095-2019")</f>
        <v/>
      </c>
      <c r="W21">
        <f>HYPERLINK("https://klasma.github.io/Logging_2506/klagomålsmail/A 45095-2019 FSC-klagomål mail.docx", "A 45095-2019")</f>
        <v/>
      </c>
      <c r="X21">
        <f>HYPERLINK("https://klasma.github.io/Logging_2506/tillsyn/A 45095-2019 tillsynsbegäran.docx", "A 45095-2019")</f>
        <v/>
      </c>
      <c r="Y21">
        <f>HYPERLINK("https://klasma.github.io/Logging_2506/tillsynsmail/A 45095-2019 tillsynsbegäran mail.docx", "A 45095-2019")</f>
        <v/>
      </c>
    </row>
    <row r="22" ht="15" customHeight="1">
      <c r="A22" t="inlineStr">
        <is>
          <t>A 14684-2021</t>
        </is>
      </c>
      <c r="B22" s="1" t="n">
        <v>44280</v>
      </c>
      <c r="C22" s="1" t="n">
        <v>45792</v>
      </c>
      <c r="D22" t="inlineStr">
        <is>
          <t>NORRBOTTENS LÄN</t>
        </is>
      </c>
      <c r="E22" t="inlineStr">
        <is>
          <t>ARJEPLOG</t>
        </is>
      </c>
      <c r="G22" t="n">
        <v>26.6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Tretåig hackspett
Ullticka</t>
        </is>
      </c>
      <c r="S22">
        <f>HYPERLINK("https://klasma.github.io/Logging_2506/artfynd/A 14684-2021 artfynd.xlsx", "A 14684-2021")</f>
        <v/>
      </c>
      <c r="T22">
        <f>HYPERLINK("https://klasma.github.io/Logging_2506/kartor/A 14684-2021 karta.png", "A 14684-2021")</f>
        <v/>
      </c>
      <c r="V22">
        <f>HYPERLINK("https://klasma.github.io/Logging_2506/klagomål/A 14684-2021 FSC-klagomål.docx", "A 14684-2021")</f>
        <v/>
      </c>
      <c r="W22">
        <f>HYPERLINK("https://klasma.github.io/Logging_2506/klagomålsmail/A 14684-2021 FSC-klagomål mail.docx", "A 14684-2021")</f>
        <v/>
      </c>
      <c r="X22">
        <f>HYPERLINK("https://klasma.github.io/Logging_2506/tillsyn/A 14684-2021 tillsynsbegäran.docx", "A 14684-2021")</f>
        <v/>
      </c>
      <c r="Y22">
        <f>HYPERLINK("https://klasma.github.io/Logging_2506/tillsynsmail/A 14684-2021 tillsynsbegäran mail.docx", "A 14684-2021")</f>
        <v/>
      </c>
      <c r="Z22">
        <f>HYPERLINK("https://klasma.github.io/Logging_2506/fåglar/A 14684-2021 prioriterade fågelarter.docx", "A 14684-2021")</f>
        <v/>
      </c>
    </row>
    <row r="23" ht="15" customHeight="1">
      <c r="A23" t="inlineStr">
        <is>
          <t>A 17549-2023</t>
        </is>
      </c>
      <c r="B23" s="1" t="n">
        <v>45034</v>
      </c>
      <c r="C23" s="1" t="n">
        <v>45792</v>
      </c>
      <c r="D23" t="inlineStr">
        <is>
          <t>NORRBOTTENS LÄN</t>
        </is>
      </c>
      <c r="E23" t="inlineStr">
        <is>
          <t>ARJEPLOG</t>
        </is>
      </c>
      <c r="G23" t="n">
        <v>18.8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Granticka
Tretåig hackspett</t>
        </is>
      </c>
      <c r="S23">
        <f>HYPERLINK("https://klasma.github.io/Logging_2506/artfynd/A 17549-2023 artfynd.xlsx", "A 17549-2023")</f>
        <v/>
      </c>
      <c r="T23">
        <f>HYPERLINK("https://klasma.github.io/Logging_2506/kartor/A 17549-2023 karta.png", "A 17549-2023")</f>
        <v/>
      </c>
      <c r="V23">
        <f>HYPERLINK("https://klasma.github.io/Logging_2506/klagomål/A 17549-2023 FSC-klagomål.docx", "A 17549-2023")</f>
        <v/>
      </c>
      <c r="W23">
        <f>HYPERLINK("https://klasma.github.io/Logging_2506/klagomålsmail/A 17549-2023 FSC-klagomål mail.docx", "A 17549-2023")</f>
        <v/>
      </c>
      <c r="X23">
        <f>HYPERLINK("https://klasma.github.io/Logging_2506/tillsyn/A 17549-2023 tillsynsbegäran.docx", "A 17549-2023")</f>
        <v/>
      </c>
      <c r="Y23">
        <f>HYPERLINK("https://klasma.github.io/Logging_2506/tillsynsmail/A 17549-2023 tillsynsbegäran mail.docx", "A 17549-2023")</f>
        <v/>
      </c>
      <c r="Z23">
        <f>HYPERLINK("https://klasma.github.io/Logging_2506/fåglar/A 17549-2023 prioriterade fågelarter.docx", "A 17549-2023")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45792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45792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45779-2024</t>
        </is>
      </c>
      <c r="B26" s="1" t="n">
        <v>45579</v>
      </c>
      <c r="C26" s="1" t="n">
        <v>45792</v>
      </c>
      <c r="D26" t="inlineStr">
        <is>
          <t>NORRBOTTENS LÄN</t>
        </is>
      </c>
      <c r="E26" t="inlineStr">
        <is>
          <t>ARJEPLOG</t>
        </is>
      </c>
      <c r="F26" t="inlineStr">
        <is>
          <t>Sveaskog</t>
        </is>
      </c>
      <c r="G26" t="n">
        <v>6.8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Ullticka</t>
        </is>
      </c>
      <c r="S26">
        <f>HYPERLINK("https://klasma.github.io/Logging_2506/artfynd/A 45779-2024 artfynd.xlsx", "A 45779-2024")</f>
        <v/>
      </c>
      <c r="T26">
        <f>HYPERLINK("https://klasma.github.io/Logging_2506/kartor/A 45779-2024 karta.png", "A 45779-2024")</f>
        <v/>
      </c>
      <c r="V26">
        <f>HYPERLINK("https://klasma.github.io/Logging_2506/klagomål/A 45779-2024 FSC-klagomål.docx", "A 45779-2024")</f>
        <v/>
      </c>
      <c r="W26">
        <f>HYPERLINK("https://klasma.github.io/Logging_2506/klagomålsmail/A 45779-2024 FSC-klagomål mail.docx", "A 45779-2024")</f>
        <v/>
      </c>
      <c r="X26">
        <f>HYPERLINK("https://klasma.github.io/Logging_2506/tillsyn/A 45779-2024 tillsynsbegäran.docx", "A 45779-2024")</f>
        <v/>
      </c>
      <c r="Y26">
        <f>HYPERLINK("https://klasma.github.io/Logging_2506/tillsynsmail/A 45779-2024 tillsynsbegäran mail.docx", "A 45779-2024")</f>
        <v/>
      </c>
    </row>
    <row r="27" ht="15" customHeight="1">
      <c r="A27" t="inlineStr">
        <is>
          <t>A 45324-2022</t>
        </is>
      </c>
      <c r="B27" s="1" t="n">
        <v>44841</v>
      </c>
      <c r="C27" s="1" t="n">
        <v>45792</v>
      </c>
      <c r="D27" t="inlineStr">
        <is>
          <t>NORRBOTTENS LÄN</t>
        </is>
      </c>
      <c r="E27" t="inlineStr">
        <is>
          <t>ARJEPLOG</t>
        </is>
      </c>
      <c r="G27" t="n">
        <v>23.2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Bergand</t>
        </is>
      </c>
      <c r="S27">
        <f>HYPERLINK("https://klasma.github.io/Logging_2506/artfynd/A 45324-2022 artfynd.xlsx", "A 45324-2022")</f>
        <v/>
      </c>
      <c r="T27">
        <f>HYPERLINK("https://klasma.github.io/Logging_2506/kartor/A 45324-2022 karta.png", "A 45324-2022")</f>
        <v/>
      </c>
      <c r="V27">
        <f>HYPERLINK("https://klasma.github.io/Logging_2506/klagomål/A 45324-2022 FSC-klagomål.docx", "A 45324-2022")</f>
        <v/>
      </c>
      <c r="W27">
        <f>HYPERLINK("https://klasma.github.io/Logging_2506/klagomålsmail/A 45324-2022 FSC-klagomål mail.docx", "A 45324-2022")</f>
        <v/>
      </c>
      <c r="X27">
        <f>HYPERLINK("https://klasma.github.io/Logging_2506/tillsyn/A 45324-2022 tillsynsbegäran.docx", "A 45324-2022")</f>
        <v/>
      </c>
      <c r="Y27">
        <f>HYPERLINK("https://klasma.github.io/Logging_2506/tillsynsmail/A 45324-2022 tillsynsbegäran mail.docx", "A 45324-2022")</f>
        <v/>
      </c>
    </row>
    <row r="28" ht="15" customHeight="1">
      <c r="A28" t="inlineStr">
        <is>
          <t>A 25279-2023</t>
        </is>
      </c>
      <c r="B28" s="1" t="n">
        <v>45079</v>
      </c>
      <c r="C28" s="1" t="n">
        <v>45792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Plattlummer</t>
        </is>
      </c>
      <c r="S28">
        <f>HYPERLINK("https://klasma.github.io/Logging_2506/artfynd/A 25279-2023 artfynd.xlsx", "A 25279-2023")</f>
        <v/>
      </c>
      <c r="T28">
        <f>HYPERLINK("https://klasma.github.io/Logging_2506/kartor/A 25279-2023 karta.png", "A 25279-2023")</f>
        <v/>
      </c>
      <c r="V28">
        <f>HYPERLINK("https://klasma.github.io/Logging_2506/klagomål/A 25279-2023 FSC-klagomål.docx", "A 25279-2023")</f>
        <v/>
      </c>
      <c r="W28">
        <f>HYPERLINK("https://klasma.github.io/Logging_2506/klagomålsmail/A 25279-2023 FSC-klagomål mail.docx", "A 25279-2023")</f>
        <v/>
      </c>
      <c r="X28">
        <f>HYPERLINK("https://klasma.github.io/Logging_2506/tillsyn/A 25279-2023 tillsynsbegäran.docx", "A 25279-2023")</f>
        <v/>
      </c>
      <c r="Y28">
        <f>HYPERLINK("https://klasma.github.io/Logging_2506/tillsynsmail/A 25279-2023 tillsynsbegäran mail.docx", "A 25279-2023")</f>
        <v/>
      </c>
    </row>
    <row r="29" ht="15" customHeight="1">
      <c r="A29" t="inlineStr">
        <is>
          <t>A 30592-2023</t>
        </is>
      </c>
      <c r="B29" s="1" t="n">
        <v>45112</v>
      </c>
      <c r="C29" s="1" t="n">
        <v>45792</v>
      </c>
      <c r="D29" t="inlineStr">
        <is>
          <t>NORRBOTTENS LÄN</t>
        </is>
      </c>
      <c r="E29" t="inlineStr">
        <is>
          <t>ARJEPLOG</t>
        </is>
      </c>
      <c r="F29" t="inlineStr">
        <is>
          <t>Allmännings- och besparingsskogar</t>
        </is>
      </c>
      <c r="G29" t="n">
        <v>19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HYPERLINK("https://klasma.github.io/Logging_2506/artfynd/A 30592-2023 artfynd.xlsx", "A 30592-2023")</f>
        <v/>
      </c>
      <c r="T29">
        <f>HYPERLINK("https://klasma.github.io/Logging_2506/kartor/A 30592-2023 karta.png", "A 30592-2023")</f>
        <v/>
      </c>
      <c r="V29">
        <f>HYPERLINK("https://klasma.github.io/Logging_2506/klagomål/A 30592-2023 FSC-klagomål.docx", "A 30592-2023")</f>
        <v/>
      </c>
      <c r="W29">
        <f>HYPERLINK("https://klasma.github.io/Logging_2506/klagomålsmail/A 30592-2023 FSC-klagomål mail.docx", "A 30592-2023")</f>
        <v/>
      </c>
      <c r="X29">
        <f>HYPERLINK("https://klasma.github.io/Logging_2506/tillsyn/A 30592-2023 tillsynsbegäran.docx", "A 30592-2023")</f>
        <v/>
      </c>
      <c r="Y29">
        <f>HYPERLINK("https://klasma.github.io/Logging_2506/tillsynsmail/A 30592-2023 tillsynsbegäran mail.docx", "A 30592-2023")</f>
        <v/>
      </c>
      <c r="Z29">
        <f>HYPERLINK("https://klasma.github.io/Logging_2506/fåglar/A 30592-2023 prioriterade fågelarter.docx", "A 30592-2023")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45792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2559-2025</t>
        </is>
      </c>
      <c r="B31" s="1" t="n">
        <v>45673</v>
      </c>
      <c r="C31" s="1" t="n">
        <v>45792</v>
      </c>
      <c r="D31" t="inlineStr">
        <is>
          <t>NORRBOTTENS LÄN</t>
        </is>
      </c>
      <c r="E31" t="inlineStr">
        <is>
          <t>ARJEPLOG</t>
        </is>
      </c>
      <c r="G31" t="n">
        <v>12.4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Gräddporing</t>
        </is>
      </c>
      <c r="S31">
        <f>HYPERLINK("https://klasma.github.io/Logging_2506/artfynd/A 2559-2025 artfynd.xlsx", "A 2559-2025")</f>
        <v/>
      </c>
      <c r="T31">
        <f>HYPERLINK("https://klasma.github.io/Logging_2506/kartor/A 2559-2025 karta.png", "A 2559-2025")</f>
        <v/>
      </c>
      <c r="V31">
        <f>HYPERLINK("https://klasma.github.io/Logging_2506/klagomål/A 2559-2025 FSC-klagomål.docx", "A 2559-2025")</f>
        <v/>
      </c>
      <c r="W31">
        <f>HYPERLINK("https://klasma.github.io/Logging_2506/klagomålsmail/A 2559-2025 FSC-klagomål mail.docx", "A 2559-2025")</f>
        <v/>
      </c>
      <c r="X31">
        <f>HYPERLINK("https://klasma.github.io/Logging_2506/tillsyn/A 2559-2025 tillsynsbegäran.docx", "A 2559-2025")</f>
        <v/>
      </c>
      <c r="Y31">
        <f>HYPERLINK("https://klasma.github.io/Logging_2506/tillsynsmail/A 2559-2025 tillsynsbegäran mail.docx", "A 2559-2025")</f>
        <v/>
      </c>
    </row>
    <row r="32" ht="15" customHeight="1">
      <c r="A32" t="inlineStr">
        <is>
          <t>A 12403-2025</t>
        </is>
      </c>
      <c r="B32" s="1" t="n">
        <v>45730</v>
      </c>
      <c r="C32" s="1" t="n">
        <v>45792</v>
      </c>
      <c r="D32" t="inlineStr">
        <is>
          <t>NORRBOTTENS LÄN</t>
        </is>
      </c>
      <c r="E32" t="inlineStr">
        <is>
          <t>ARJEPLOG</t>
        </is>
      </c>
      <c r="G32" t="n">
        <v>10.1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HYPERLINK("https://klasma.github.io/Logging_252506/artfynd/A 12403-2025 artfynd.xlsx", "A 12403-2025")</f>
        <v/>
      </c>
      <c r="T32">
        <f>HYPERLINK("https://klasma.github.io/Logging_252506/kartor/A 12403-2025 karta.png", "A 12403-2025")</f>
        <v/>
      </c>
      <c r="V32">
        <f>HYPERLINK("https://klasma.github.io/Logging_252506/klagomål/A 12403-2025 FSC-klagomål.docx", "A 12403-2025")</f>
        <v/>
      </c>
      <c r="W32">
        <f>HYPERLINK("https://klasma.github.io/Logging_252506/klagomålsmail/A 12403-2025 FSC-klagomål mail.docx", "A 12403-2025")</f>
        <v/>
      </c>
      <c r="X32">
        <f>HYPERLINK("https://klasma.github.io/Logging_252506/tillsyn/A 12403-2025 tillsynsbegäran.docx", "A 12403-2025")</f>
        <v/>
      </c>
      <c r="Y32">
        <f>HYPERLINK("https://klasma.github.io/Logging_252506/tillsynsmail/A 12403-2025 tillsynsbegäran mail.docx", "A 12403-2025")</f>
        <v/>
      </c>
      <c r="Z32">
        <f>HYPERLINK("https://klasma.github.io/Logging_252506/fåglar/A 12403-2025 prioriterade fågelarter.docx", "A 12403-2025")</f>
        <v/>
      </c>
    </row>
    <row r="33" ht="15" customHeight="1">
      <c r="A33" t="inlineStr">
        <is>
          <t>A 18921-2025</t>
        </is>
      </c>
      <c r="B33" s="1" t="n">
        <v>45764</v>
      </c>
      <c r="C33" s="1" t="n">
        <v>45792</v>
      </c>
      <c r="D33" t="inlineStr">
        <is>
          <t>NORRBOTTENS LÄN</t>
        </is>
      </c>
      <c r="E33" t="inlineStr">
        <is>
          <t>ARJEPLOG</t>
        </is>
      </c>
      <c r="F33" t="inlineStr">
        <is>
          <t>Sveaskog</t>
        </is>
      </c>
      <c r="G33" t="n">
        <v>12.5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HYPERLINK("https://klasma.github.io/Logging_252506/artfynd/A 18921-2025 artfynd.xlsx", "A 18921-2025")</f>
        <v/>
      </c>
      <c r="T33">
        <f>HYPERLINK("https://klasma.github.io/Logging_252506/kartor/A 18921-2025 karta.png", "A 18921-2025")</f>
        <v/>
      </c>
      <c r="V33">
        <f>HYPERLINK("https://klasma.github.io/Logging_252506/klagomål/A 18921-2025 FSC-klagomål.docx", "A 18921-2025")</f>
        <v/>
      </c>
      <c r="W33">
        <f>HYPERLINK("https://klasma.github.io/Logging_252506/klagomålsmail/A 18921-2025 FSC-klagomål mail.docx", "A 18921-2025")</f>
        <v/>
      </c>
      <c r="X33">
        <f>HYPERLINK("https://klasma.github.io/Logging_252506/tillsyn/A 18921-2025 tillsynsbegäran.docx", "A 18921-2025")</f>
        <v/>
      </c>
      <c r="Y33">
        <f>HYPERLINK("https://klasma.github.io/Logging_252506/tillsynsmail/A 18921-2025 tillsynsbegäran mail.docx", "A 18921-2025")</f>
        <v/>
      </c>
    </row>
    <row r="34" ht="15" customHeight="1">
      <c r="A34" t="inlineStr">
        <is>
          <t>A 21344-2019</t>
        </is>
      </c>
      <c r="B34" s="1" t="n">
        <v>43579</v>
      </c>
      <c r="C34" s="1" t="n">
        <v>45792</v>
      </c>
      <c r="D34" t="inlineStr">
        <is>
          <t>NORRBOTTENS LÄN</t>
        </is>
      </c>
      <c r="E34" t="inlineStr">
        <is>
          <t>ARJEPLOG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25107-2019</t>
        </is>
      </c>
      <c r="B35" s="1" t="n">
        <v>43600</v>
      </c>
      <c r="C35" s="1" t="n">
        <v>45792</v>
      </c>
      <c r="D35" t="inlineStr">
        <is>
          <t>NORRBOTTENS LÄN</t>
        </is>
      </c>
      <c r="E35" t="inlineStr">
        <is>
          <t>ARJEPLOG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24943-2019</t>
        </is>
      </c>
      <c r="B36" s="1" t="n">
        <v>43602</v>
      </c>
      <c r="C36" s="1" t="n">
        <v>45792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19.5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26099-2019</t>
        </is>
      </c>
      <c r="B37" s="1" t="n">
        <v>43605</v>
      </c>
      <c r="C37" s="1" t="n">
        <v>45792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40.2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28869-2019</t>
        </is>
      </c>
      <c r="B38" s="1" t="n">
        <v>43616</v>
      </c>
      <c r="C38" s="1" t="n">
        <v>45792</v>
      </c>
      <c r="D38" t="inlineStr">
        <is>
          <t>NORRBOTTENS LÄN</t>
        </is>
      </c>
      <c r="E38" t="inlineStr">
        <is>
          <t>ARJEPLOG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29502-2019</t>
        </is>
      </c>
      <c r="B39" s="1" t="n">
        <v>43627</v>
      </c>
      <c r="C39" s="1" t="n">
        <v>45792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32493-2019</t>
        </is>
      </c>
      <c r="B40" s="1" t="n">
        <v>43644</v>
      </c>
      <c r="C40" s="1" t="n">
        <v>45792</v>
      </c>
      <c r="D40" t="inlineStr">
        <is>
          <t>NORRBOTTENS LÄN</t>
        </is>
      </c>
      <c r="E40" t="inlineStr">
        <is>
          <t>ARJEPLOG</t>
        </is>
      </c>
      <c r="F40" t="inlineStr">
        <is>
          <t>SCA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35842-2019</t>
        </is>
      </c>
      <c r="B41" s="1" t="n">
        <v>43665</v>
      </c>
      <c r="C41" s="1" t="n">
        <v>45792</v>
      </c>
      <c r="D41" t="inlineStr">
        <is>
          <t>NORRBOTTENS LÄN</t>
        </is>
      </c>
      <c r="E41" t="inlineStr">
        <is>
          <t>ARJEPLOG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40255-2019</t>
        </is>
      </c>
      <c r="B42" s="1" t="n">
        <v>43695</v>
      </c>
      <c r="C42" s="1" t="n">
        <v>45792</v>
      </c>
      <c r="D42" t="inlineStr">
        <is>
          <t>NORRBOTTENS LÄN</t>
        </is>
      </c>
      <c r="E42" t="inlineStr">
        <is>
          <t>ARJEPLOG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41772-2019</t>
        </is>
      </c>
      <c r="B43" s="1" t="n">
        <v>43699</v>
      </c>
      <c r="C43" s="1" t="n">
        <v>45792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17.1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41774-2019</t>
        </is>
      </c>
      <c r="B44" s="1" t="n">
        <v>43699</v>
      </c>
      <c r="C44" s="1" t="n">
        <v>45792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42077-2019</t>
        </is>
      </c>
      <c r="B45" s="1" t="n">
        <v>43700</v>
      </c>
      <c r="C45" s="1" t="n">
        <v>45792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42333-2019</t>
        </is>
      </c>
      <c r="B46" s="1" t="n">
        <v>43703</v>
      </c>
      <c r="C46" s="1" t="n">
        <v>45792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49149-2019</t>
        </is>
      </c>
      <c r="B47" s="1" t="n">
        <v>43728</v>
      </c>
      <c r="C47" s="1" t="n">
        <v>45792</v>
      </c>
      <c r="D47" t="inlineStr">
        <is>
          <t>NORRBOTTENS LÄN</t>
        </is>
      </c>
      <c r="E47" t="inlineStr">
        <is>
          <t>ARJEPLOG</t>
        </is>
      </c>
      <c r="F47" t="inlineStr">
        <is>
          <t>Allmännings- och besparingsskogar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49218-2019</t>
        </is>
      </c>
      <c r="B48" s="1" t="n">
        <v>43731</v>
      </c>
      <c r="C48" s="1" t="n">
        <v>45792</v>
      </c>
      <c r="D48" t="inlineStr">
        <is>
          <t>NORRBOTTENS LÄN</t>
        </is>
      </c>
      <c r="E48" t="inlineStr">
        <is>
          <t>ARJEPLOG</t>
        </is>
      </c>
      <c r="F48" t="inlineStr">
        <is>
          <t>Allmännings- och besparingsskogar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59550-2019</t>
        </is>
      </c>
      <c r="B49" s="1" t="n">
        <v>43776</v>
      </c>
      <c r="C49" s="1" t="n">
        <v>45792</v>
      </c>
      <c r="D49" t="inlineStr">
        <is>
          <t>NORRBOTTENS LÄN</t>
        </is>
      </c>
      <c r="E49" t="inlineStr">
        <is>
          <t>ARJEPLOG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65220-2019</t>
        </is>
      </c>
      <c r="B50" s="1" t="n">
        <v>43797</v>
      </c>
      <c r="C50" s="1" t="n">
        <v>45792</v>
      </c>
      <c r="D50" t="inlineStr">
        <is>
          <t>NORRBOTTENS LÄN</t>
        </is>
      </c>
      <c r="E50" t="inlineStr">
        <is>
          <t>ARJEPLOG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65894-2019</t>
        </is>
      </c>
      <c r="B51" s="1" t="n">
        <v>43798</v>
      </c>
      <c r="C51" s="1" t="n">
        <v>45792</v>
      </c>
      <c r="D51" t="inlineStr">
        <is>
          <t>NORRBOTTENS LÄN</t>
        </is>
      </c>
      <c r="E51" t="inlineStr">
        <is>
          <t>ARJEPLOG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66484-2019</t>
        </is>
      </c>
      <c r="B52" s="1" t="n">
        <v>43803</v>
      </c>
      <c r="C52" s="1" t="n">
        <v>45792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816-2020</t>
        </is>
      </c>
      <c r="B53" s="1" t="n">
        <v>43838</v>
      </c>
      <c r="C53" s="1" t="n">
        <v>45792</v>
      </c>
      <c r="D53" t="inlineStr">
        <is>
          <t>NORRBOTTENS LÄN</t>
        </is>
      </c>
      <c r="E53" t="inlineStr">
        <is>
          <t>ARJEPLOG</t>
        </is>
      </c>
      <c r="F53" t="inlineStr">
        <is>
          <t>SCA</t>
        </is>
      </c>
      <c r="G53" t="n">
        <v>10.3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815-2020</t>
        </is>
      </c>
      <c r="B54" s="1" t="n">
        <v>43838</v>
      </c>
      <c r="C54" s="1" t="n">
        <v>45792</v>
      </c>
      <c r="D54" t="inlineStr">
        <is>
          <t>NORRBOTTENS LÄN</t>
        </is>
      </c>
      <c r="E54" t="inlineStr">
        <is>
          <t>ARJEPLOG</t>
        </is>
      </c>
      <c r="F54" t="inlineStr">
        <is>
          <t>SCA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11303-2020</t>
        </is>
      </c>
      <c r="B55" s="1" t="n">
        <v>43892</v>
      </c>
      <c r="C55" s="1" t="n">
        <v>45792</v>
      </c>
      <c r="D55" t="inlineStr">
        <is>
          <t>NORRBOTTENS LÄN</t>
        </is>
      </c>
      <c r="E55" t="inlineStr">
        <is>
          <t>ARJEPLOG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17204-2020</t>
        </is>
      </c>
      <c r="B56" s="1" t="n">
        <v>43913</v>
      </c>
      <c r="C56" s="1" t="n">
        <v>45792</v>
      </c>
      <c r="D56" t="inlineStr">
        <is>
          <t>NORRBOTTENS LÄN</t>
        </is>
      </c>
      <c r="E56" t="inlineStr">
        <is>
          <t>ARJEPLOG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17025-2020</t>
        </is>
      </c>
      <c r="B57" s="1" t="n">
        <v>43913</v>
      </c>
      <c r="C57" s="1" t="n">
        <v>45792</v>
      </c>
      <c r="D57" t="inlineStr">
        <is>
          <t>NORRBOTTENS LÄN</t>
        </is>
      </c>
      <c r="E57" t="inlineStr">
        <is>
          <t>ARJEPLOG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17208-2020</t>
        </is>
      </c>
      <c r="B58" s="1" t="n">
        <v>43914</v>
      </c>
      <c r="C58" s="1" t="n">
        <v>45792</v>
      </c>
      <c r="D58" t="inlineStr">
        <is>
          <t>NORRBOTTENS LÄN</t>
        </is>
      </c>
      <c r="E58" t="inlineStr">
        <is>
          <t>ARJEPLOG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17244-2020</t>
        </is>
      </c>
      <c r="B59" s="1" t="n">
        <v>43914</v>
      </c>
      <c r="C59" s="1" t="n">
        <v>45792</v>
      </c>
      <c r="D59" t="inlineStr">
        <is>
          <t>NORRBOTTENS LÄN</t>
        </is>
      </c>
      <c r="E59" t="inlineStr">
        <is>
          <t>ARJEPLOG</t>
        </is>
      </c>
      <c r="G59" t="n">
        <v>18.3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17744-2020</t>
        </is>
      </c>
      <c r="B60" s="1" t="n">
        <v>43914</v>
      </c>
      <c r="C60" s="1" t="n">
        <v>45792</v>
      </c>
      <c r="D60" t="inlineStr">
        <is>
          <t>NORRBOTTENS LÄN</t>
        </is>
      </c>
      <c r="E60" t="inlineStr">
        <is>
          <t>ARJEPLOG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17761-2020</t>
        </is>
      </c>
      <c r="B61" s="1" t="n">
        <v>43914</v>
      </c>
      <c r="C61" s="1" t="n">
        <v>45792</v>
      </c>
      <c r="D61" t="inlineStr">
        <is>
          <t>NORRBOTTENS LÄN</t>
        </is>
      </c>
      <c r="E61" t="inlineStr">
        <is>
          <t>ARJEPLOG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25139-2020</t>
        </is>
      </c>
      <c r="B62" s="1" t="n">
        <v>43979</v>
      </c>
      <c r="C62" s="1" t="n">
        <v>45792</v>
      </c>
      <c r="D62" t="inlineStr">
        <is>
          <t>NORRBOTTENS LÄN</t>
        </is>
      </c>
      <c r="E62" t="inlineStr">
        <is>
          <t>ARJEPLOG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30397-2020</t>
        </is>
      </c>
      <c r="B63" s="1" t="n">
        <v>44007</v>
      </c>
      <c r="C63" s="1" t="n">
        <v>45792</v>
      </c>
      <c r="D63" t="inlineStr">
        <is>
          <t>NORRBOTTENS LÄN</t>
        </is>
      </c>
      <c r="E63" t="inlineStr">
        <is>
          <t>ARJEPLOG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33219-2020</t>
        </is>
      </c>
      <c r="B64" s="1" t="n">
        <v>44020</v>
      </c>
      <c r="C64" s="1" t="n">
        <v>45792</v>
      </c>
      <c r="D64" t="inlineStr">
        <is>
          <t>NORRBOTTENS LÄN</t>
        </is>
      </c>
      <c r="E64" t="inlineStr">
        <is>
          <t>ARJEPLOG</t>
        </is>
      </c>
      <c r="F64" t="inlineStr">
        <is>
          <t>Allmännings- och besparingsskogar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33717-2020</t>
        </is>
      </c>
      <c r="B65" s="1" t="n">
        <v>44026</v>
      </c>
      <c r="C65" s="1" t="n">
        <v>45792</v>
      </c>
      <c r="D65" t="inlineStr">
        <is>
          <t>NORRBOTTENS LÄN</t>
        </is>
      </c>
      <c r="E65" t="inlineStr">
        <is>
          <t>ARJEPLOG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33720-2020</t>
        </is>
      </c>
      <c r="B66" s="1" t="n">
        <v>44026</v>
      </c>
      <c r="C66" s="1" t="n">
        <v>45792</v>
      </c>
      <c r="D66" t="inlineStr">
        <is>
          <t>NORRBOTTENS LÄN</t>
        </is>
      </c>
      <c r="E66" t="inlineStr">
        <is>
          <t>ARJEPLOG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61272-2020</t>
        </is>
      </c>
      <c r="B67" s="1" t="n">
        <v>44154</v>
      </c>
      <c r="C67" s="1" t="n">
        <v>45792</v>
      </c>
      <c r="D67" t="inlineStr">
        <is>
          <t>NORRBOTTENS LÄN</t>
        </is>
      </c>
      <c r="E67" t="inlineStr">
        <is>
          <t>ARJEPLOG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61050-2020</t>
        </is>
      </c>
      <c r="B68" s="1" t="n">
        <v>44154</v>
      </c>
      <c r="C68" s="1" t="n">
        <v>45792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64857-2020</t>
        </is>
      </c>
      <c r="B69" s="1" t="n">
        <v>44171</v>
      </c>
      <c r="C69" s="1" t="n">
        <v>45792</v>
      </c>
      <c r="D69" t="inlineStr">
        <is>
          <t>NORRBOTTENS LÄN</t>
        </is>
      </c>
      <c r="E69" t="inlineStr">
        <is>
          <t>ARJEPLOG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8727-2021</t>
        </is>
      </c>
      <c r="B70" s="1" t="n">
        <v>44246</v>
      </c>
      <c r="C70" s="1" t="n">
        <v>45792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12.9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8721-2021</t>
        </is>
      </c>
      <c r="B71" s="1" t="n">
        <v>44246</v>
      </c>
      <c r="C71" s="1" t="n">
        <v>45792</v>
      </c>
      <c r="D71" t="inlineStr">
        <is>
          <t>NORRBOTTENS LÄN</t>
        </is>
      </c>
      <c r="E71" t="inlineStr">
        <is>
          <t>ARJEPLOG</t>
        </is>
      </c>
      <c r="F71" t="inlineStr">
        <is>
          <t>Sveaskog</t>
        </is>
      </c>
      <c r="G71" t="n">
        <v>48.3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14375-2021</t>
        </is>
      </c>
      <c r="B72" s="1" t="n">
        <v>44279</v>
      </c>
      <c r="C72" s="1" t="n">
        <v>45792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60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31439-2021</t>
        </is>
      </c>
      <c r="B73" s="1" t="n">
        <v>44369</v>
      </c>
      <c r="C73" s="1" t="n">
        <v>45792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34810-2021</t>
        </is>
      </c>
      <c r="B74" s="1" t="n">
        <v>44382</v>
      </c>
      <c r="C74" s="1" t="n">
        <v>45792</v>
      </c>
      <c r="D74" t="inlineStr">
        <is>
          <t>NORRBOTTENS LÄN</t>
        </is>
      </c>
      <c r="E74" t="inlineStr">
        <is>
          <t>ARJEPLOG</t>
        </is>
      </c>
      <c r="G74" t="n">
        <v>19.9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41799-2021</t>
        </is>
      </c>
      <c r="B75" s="1" t="n">
        <v>44425</v>
      </c>
      <c r="C75" s="1" t="n">
        <v>45792</v>
      </c>
      <c r="D75" t="inlineStr">
        <is>
          <t>NORRBOTTENS LÄN</t>
        </is>
      </c>
      <c r="E75" t="inlineStr">
        <is>
          <t>ARJEPLOG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46585-2021</t>
        </is>
      </c>
      <c r="B76" s="1" t="n">
        <v>44445</v>
      </c>
      <c r="C76" s="1" t="n">
        <v>45792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11.1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54589-2021</t>
        </is>
      </c>
      <c r="B77" s="1" t="n">
        <v>44473</v>
      </c>
      <c r="C77" s="1" t="n">
        <v>45792</v>
      </c>
      <c r="D77" t="inlineStr">
        <is>
          <t>NORRBOTTENS LÄN</t>
        </is>
      </c>
      <c r="E77" t="inlineStr">
        <is>
          <t>ARJEPLOG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55422-2021</t>
        </is>
      </c>
      <c r="B78" s="1" t="n">
        <v>44475</v>
      </c>
      <c r="C78" s="1" t="n">
        <v>45792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56275-2021</t>
        </is>
      </c>
      <c r="B79" s="1" t="n">
        <v>44479</v>
      </c>
      <c r="C79" s="1" t="n">
        <v>45792</v>
      </c>
      <c r="D79" t="inlineStr">
        <is>
          <t>NORRBOTTENS LÄN</t>
        </is>
      </c>
      <c r="E79" t="inlineStr">
        <is>
          <t>ARJEPLOG</t>
        </is>
      </c>
      <c r="G79" t="n">
        <v>16.2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56274-2021</t>
        </is>
      </c>
      <c r="B80" s="1" t="n">
        <v>44479</v>
      </c>
      <c r="C80" s="1" t="n">
        <v>45792</v>
      </c>
      <c r="D80" t="inlineStr">
        <is>
          <t>NORRBOTTENS LÄN</t>
        </is>
      </c>
      <c r="E80" t="inlineStr">
        <is>
          <t>ARJEPLOG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56278-2021</t>
        </is>
      </c>
      <c r="B81" s="1" t="n">
        <v>44479</v>
      </c>
      <c r="C81" s="1" t="n">
        <v>45792</v>
      </c>
      <c r="D81" t="inlineStr">
        <is>
          <t>NORRBOTTENS LÄN</t>
        </is>
      </c>
      <c r="E81" t="inlineStr">
        <is>
          <t>ARJEPLOG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56276-2021</t>
        </is>
      </c>
      <c r="B82" s="1" t="n">
        <v>44479</v>
      </c>
      <c r="C82" s="1" t="n">
        <v>45792</v>
      </c>
      <c r="D82" t="inlineStr">
        <is>
          <t>NORRBOTTENS LÄN</t>
        </is>
      </c>
      <c r="E82" t="inlineStr">
        <is>
          <t>ARJEPLOG</t>
        </is>
      </c>
      <c r="G82" t="n">
        <v>19.8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56277-2021</t>
        </is>
      </c>
      <c r="B83" s="1" t="n">
        <v>44479</v>
      </c>
      <c r="C83" s="1" t="n">
        <v>45792</v>
      </c>
      <c r="D83" t="inlineStr">
        <is>
          <t>NORRBOTTENS LÄN</t>
        </is>
      </c>
      <c r="E83" t="inlineStr">
        <is>
          <t>ARJEPLOG</t>
        </is>
      </c>
      <c r="G83" t="n">
        <v>19.4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58879-2021</t>
        </is>
      </c>
      <c r="B84" s="1" t="n">
        <v>44489</v>
      </c>
      <c r="C84" s="1" t="n">
        <v>45792</v>
      </c>
      <c r="D84" t="inlineStr">
        <is>
          <t>NORRBOTTENS LÄN</t>
        </is>
      </c>
      <c r="E84" t="inlineStr">
        <is>
          <t>ARJEPLOG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66844-2021</t>
        </is>
      </c>
      <c r="B85" s="1" t="n">
        <v>44520</v>
      </c>
      <c r="C85" s="1" t="n">
        <v>45792</v>
      </c>
      <c r="D85" t="inlineStr">
        <is>
          <t>NORRBOTTENS LÄN</t>
        </is>
      </c>
      <c r="E85" t="inlineStr">
        <is>
          <t>ARJEPLOG</t>
        </is>
      </c>
      <c r="G85" t="n">
        <v>44.8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70865-2021</t>
        </is>
      </c>
      <c r="B86" s="1" t="n">
        <v>44537</v>
      </c>
      <c r="C86" s="1" t="n">
        <v>45792</v>
      </c>
      <c r="D86" t="inlineStr">
        <is>
          <t>NORRBOTTENS LÄN</t>
        </is>
      </c>
      <c r="E86" t="inlineStr">
        <is>
          <t>ARJEPLOG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72279-2021</t>
        </is>
      </c>
      <c r="B87" s="1" t="n">
        <v>44543</v>
      </c>
      <c r="C87" s="1" t="n">
        <v>45792</v>
      </c>
      <c r="D87" t="inlineStr">
        <is>
          <t>NORRBOTTENS LÄN</t>
        </is>
      </c>
      <c r="E87" t="inlineStr">
        <is>
          <t>ARJEPLOG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73880-2021</t>
        </is>
      </c>
      <c r="B88" s="1" t="n">
        <v>44552</v>
      </c>
      <c r="C88" s="1" t="n">
        <v>45792</v>
      </c>
      <c r="D88" t="inlineStr">
        <is>
          <t>NORRBOTTENS LÄN</t>
        </is>
      </c>
      <c r="E88" t="inlineStr">
        <is>
          <t>ARJEPLOG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12789-2022</t>
        </is>
      </c>
      <c r="B89" s="1" t="n">
        <v>44642</v>
      </c>
      <c r="C89" s="1" t="n">
        <v>45792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56.1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19514-2022</t>
        </is>
      </c>
      <c r="B90" s="1" t="n">
        <v>44693</v>
      </c>
      <c r="C90" s="1" t="n">
        <v>45792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19620-2022</t>
        </is>
      </c>
      <c r="B91" s="1" t="n">
        <v>44694</v>
      </c>
      <c r="C91" s="1" t="n">
        <v>45792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20789-2022</t>
        </is>
      </c>
      <c r="B92" s="1" t="n">
        <v>44701</v>
      </c>
      <c r="C92" s="1" t="n">
        <v>45792</v>
      </c>
      <c r="D92" t="inlineStr">
        <is>
          <t>NORRBOTTENS LÄN</t>
        </is>
      </c>
      <c r="E92" t="inlineStr">
        <is>
          <t>ARJEPLOG</t>
        </is>
      </c>
      <c r="G92" t="n">
        <v>20.3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21004-2022</t>
        </is>
      </c>
      <c r="B93" s="1" t="n">
        <v>44701</v>
      </c>
      <c r="C93" s="1" t="n">
        <v>45792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45792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26773-2022</t>
        </is>
      </c>
      <c r="B95" s="1" t="n">
        <v>44732</v>
      </c>
      <c r="C95" s="1" t="n">
        <v>45792</v>
      </c>
      <c r="D95" t="inlineStr">
        <is>
          <t>NORRBOTTENS LÄN</t>
        </is>
      </c>
      <c r="E95" t="inlineStr">
        <is>
          <t>ARJEPLOG</t>
        </is>
      </c>
      <c r="F95" t="inlineStr">
        <is>
          <t>Övriga statliga verk och myndigheter</t>
        </is>
      </c>
      <c r="G95" t="n">
        <v>34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28354-2022</t>
        </is>
      </c>
      <c r="B96" s="1" t="n">
        <v>44735</v>
      </c>
      <c r="C96" s="1" t="n">
        <v>45792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26811-2022</t>
        </is>
      </c>
      <c r="B97" s="1" t="n">
        <v>44735</v>
      </c>
      <c r="C97" s="1" t="n">
        <v>45792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28358-2022</t>
        </is>
      </c>
      <c r="B98" s="1" t="n">
        <v>44735</v>
      </c>
      <c r="C98" s="1" t="n">
        <v>45792</v>
      </c>
      <c r="D98" t="inlineStr">
        <is>
          <t>NORRBOTTENS LÄN</t>
        </is>
      </c>
      <c r="E98" t="inlineStr">
        <is>
          <t>ARJEPLOG</t>
        </is>
      </c>
      <c r="F98" t="inlineStr">
        <is>
          <t>Övriga statliga verk och myndigheter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27092-2022</t>
        </is>
      </c>
      <c r="B99" s="1" t="n">
        <v>44741</v>
      </c>
      <c r="C99" s="1" t="n">
        <v>45792</v>
      </c>
      <c r="D99" t="inlineStr">
        <is>
          <t>NORRBOTTENS LÄN</t>
        </is>
      </c>
      <c r="E99" t="inlineStr">
        <is>
          <t>ARJEPLOG</t>
        </is>
      </c>
      <c r="G99" t="n">
        <v>15.6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41007-2022</t>
        </is>
      </c>
      <c r="B100" s="1" t="n">
        <v>44823</v>
      </c>
      <c r="C100" s="1" t="n">
        <v>45792</v>
      </c>
      <c r="D100" t="inlineStr">
        <is>
          <t>NORRBOTTENS LÄN</t>
        </is>
      </c>
      <c r="E100" t="inlineStr">
        <is>
          <t>ARJEPLOG</t>
        </is>
      </c>
      <c r="G100" t="n">
        <v>32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42274-2022</t>
        </is>
      </c>
      <c r="B101" s="1" t="n">
        <v>44830</v>
      </c>
      <c r="C101" s="1" t="n">
        <v>45792</v>
      </c>
      <c r="D101" t="inlineStr">
        <is>
          <t>NORRBOTTENS LÄN</t>
        </is>
      </c>
      <c r="E101" t="inlineStr">
        <is>
          <t>ARJEPLOG</t>
        </is>
      </c>
      <c r="F101" t="inlineStr">
        <is>
          <t>SCA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43045-2022</t>
        </is>
      </c>
      <c r="B102" s="1" t="n">
        <v>44833</v>
      </c>
      <c r="C102" s="1" t="n">
        <v>45792</v>
      </c>
      <c r="D102" t="inlineStr">
        <is>
          <t>NORRBOTTENS LÄN</t>
        </is>
      </c>
      <c r="E102" t="inlineStr">
        <is>
          <t>ARJEPLOG</t>
        </is>
      </c>
      <c r="G102" t="n">
        <v>49.2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44751-2022</t>
        </is>
      </c>
      <c r="B103" s="1" t="n">
        <v>44840</v>
      </c>
      <c r="C103" s="1" t="n">
        <v>45792</v>
      </c>
      <c r="D103" t="inlineStr">
        <is>
          <t>NORRBOTTENS LÄN</t>
        </is>
      </c>
      <c r="E103" t="inlineStr">
        <is>
          <t>ARJEPLOG</t>
        </is>
      </c>
      <c r="F103" t="inlineStr">
        <is>
          <t>SCA</t>
        </is>
      </c>
      <c r="G103" t="n">
        <v>26.1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46093-2022</t>
        </is>
      </c>
      <c r="B104" s="1" t="n">
        <v>44845</v>
      </c>
      <c r="C104" s="1" t="n">
        <v>45792</v>
      </c>
      <c r="D104" t="inlineStr">
        <is>
          <t>NORRBOTTENS LÄN</t>
        </is>
      </c>
      <c r="E104" t="inlineStr">
        <is>
          <t>ARJEPLOG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52573-2022</t>
        </is>
      </c>
      <c r="B105" s="1" t="n">
        <v>44874</v>
      </c>
      <c r="C105" s="1" t="n">
        <v>45792</v>
      </c>
      <c r="D105" t="inlineStr">
        <is>
          <t>NORRBOTTENS LÄN</t>
        </is>
      </c>
      <c r="E105" t="inlineStr">
        <is>
          <t>ARJEPLOG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52581-2022</t>
        </is>
      </c>
      <c r="B106" s="1" t="n">
        <v>44874</v>
      </c>
      <c r="C106" s="1" t="n">
        <v>45792</v>
      </c>
      <c r="D106" t="inlineStr">
        <is>
          <t>NORRBOTTENS LÄN</t>
        </is>
      </c>
      <c r="E106" t="inlineStr">
        <is>
          <t>ARJEPLOG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8625-2023</t>
        </is>
      </c>
      <c r="B107" s="1" t="n">
        <v>44977</v>
      </c>
      <c r="C107" s="1" t="n">
        <v>45792</v>
      </c>
      <c r="D107" t="inlineStr">
        <is>
          <t>NORRBOTTENS LÄN</t>
        </is>
      </c>
      <c r="E107" t="inlineStr">
        <is>
          <t>ARJEPLOG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12656-2023</t>
        </is>
      </c>
      <c r="B108" s="1" t="n">
        <v>44999</v>
      </c>
      <c r="C108" s="1" t="n">
        <v>45792</v>
      </c>
      <c r="D108" t="inlineStr">
        <is>
          <t>NORRBOTTENS LÄN</t>
        </is>
      </c>
      <c r="E108" t="inlineStr">
        <is>
          <t>ARJEPLOG</t>
        </is>
      </c>
      <c r="G108" t="n">
        <v>18.9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13590-2023</t>
        </is>
      </c>
      <c r="B109" s="1" t="n">
        <v>45005</v>
      </c>
      <c r="C109" s="1" t="n">
        <v>45792</v>
      </c>
      <c r="D109" t="inlineStr">
        <is>
          <t>NORRBOTTENS LÄN</t>
        </is>
      </c>
      <c r="E109" t="inlineStr">
        <is>
          <t>ARJEPLOG</t>
        </is>
      </c>
      <c r="F109" t="inlineStr">
        <is>
          <t>Sveaskog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17536-2023</t>
        </is>
      </c>
      <c r="B110" s="1" t="n">
        <v>45034</v>
      </c>
      <c r="C110" s="1" t="n">
        <v>45792</v>
      </c>
      <c r="D110" t="inlineStr">
        <is>
          <t>NORRBOTTENS LÄN</t>
        </is>
      </c>
      <c r="E110" t="inlineStr">
        <is>
          <t>ARJEPLOG</t>
        </is>
      </c>
      <c r="F110" t="inlineStr">
        <is>
          <t>Övriga statliga verk och myndigheter</t>
        </is>
      </c>
      <c r="G110" t="n">
        <v>20.3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25275-2023</t>
        </is>
      </c>
      <c r="B111" s="1" t="n">
        <v>45079</v>
      </c>
      <c r="C111" s="1" t="n">
        <v>45792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22.7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25239-2023</t>
        </is>
      </c>
      <c r="B112" s="1" t="n">
        <v>45079</v>
      </c>
      <c r="C112" s="1" t="n">
        <v>45792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25270-2023</t>
        </is>
      </c>
      <c r="B113" s="1" t="n">
        <v>45079</v>
      </c>
      <c r="C113" s="1" t="n">
        <v>45792</v>
      </c>
      <c r="D113" t="inlineStr">
        <is>
          <t>NORRBOTTENS LÄN</t>
        </is>
      </c>
      <c r="E113" t="inlineStr">
        <is>
          <t>ARJEPLOG</t>
        </is>
      </c>
      <c r="F113" t="inlineStr">
        <is>
          <t>Övriga statliga verk och myndigheter</t>
        </is>
      </c>
      <c r="G113" t="n">
        <v>29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30726-2023</t>
        </is>
      </c>
      <c r="B114" s="1" t="n">
        <v>45112</v>
      </c>
      <c r="C114" s="1" t="n">
        <v>45792</v>
      </c>
      <c r="D114" t="inlineStr">
        <is>
          <t>NORRBOTTENS LÄN</t>
        </is>
      </c>
      <c r="E114" t="inlineStr">
        <is>
          <t>ARJEPLOG</t>
        </is>
      </c>
      <c r="F114" t="inlineStr">
        <is>
          <t>Allmännings- och besparingsskogar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30730-2023</t>
        </is>
      </c>
      <c r="B115" s="1" t="n">
        <v>45112</v>
      </c>
      <c r="C115" s="1" t="n">
        <v>45792</v>
      </c>
      <c r="D115" t="inlineStr">
        <is>
          <t>NORRBOTTENS LÄN</t>
        </is>
      </c>
      <c r="E115" t="inlineStr">
        <is>
          <t>ARJEPLOG</t>
        </is>
      </c>
      <c r="F115" t="inlineStr">
        <is>
          <t>Allmännings- och besparingsskogar</t>
        </is>
      </c>
      <c r="G115" t="n">
        <v>20.9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45792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35806-2023</t>
        </is>
      </c>
      <c r="B117" s="1" t="n">
        <v>45147</v>
      </c>
      <c r="C117" s="1" t="n">
        <v>45792</v>
      </c>
      <c r="D117" t="inlineStr">
        <is>
          <t>NORRBOTTENS LÄN</t>
        </is>
      </c>
      <c r="E117" t="inlineStr">
        <is>
          <t>ARJEPLOG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36623-2023</t>
        </is>
      </c>
      <c r="B118" s="1" t="n">
        <v>45153</v>
      </c>
      <c r="C118" s="1" t="n">
        <v>45792</v>
      </c>
      <c r="D118" t="inlineStr">
        <is>
          <t>NORRBOTTENS LÄN</t>
        </is>
      </c>
      <c r="E118" t="inlineStr">
        <is>
          <t>ARJEPLOG</t>
        </is>
      </c>
      <c r="F118" t="inlineStr">
        <is>
          <t>Sveaskog</t>
        </is>
      </c>
      <c r="G118" t="n">
        <v>16.9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44218-2023</t>
        </is>
      </c>
      <c r="B119" s="1" t="n">
        <v>45183</v>
      </c>
      <c r="C119" s="1" t="n">
        <v>45792</v>
      </c>
      <c r="D119" t="inlineStr">
        <is>
          <t>NORRBOTTENS LÄN</t>
        </is>
      </c>
      <c r="E119" t="inlineStr">
        <is>
          <t>ARJEPLOG</t>
        </is>
      </c>
      <c r="F119" t="inlineStr">
        <is>
          <t>Allmännings- och besparingsskogar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45072-2023</t>
        </is>
      </c>
      <c r="B120" s="1" t="n">
        <v>45187</v>
      </c>
      <c r="C120" s="1" t="n">
        <v>45792</v>
      </c>
      <c r="D120" t="inlineStr">
        <is>
          <t>NORRBOTTENS LÄN</t>
        </is>
      </c>
      <c r="E120" t="inlineStr">
        <is>
          <t>ARJEPLOG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45064-2023</t>
        </is>
      </c>
      <c r="B121" s="1" t="n">
        <v>45187</v>
      </c>
      <c r="C121" s="1" t="n">
        <v>45792</v>
      </c>
      <c r="D121" t="inlineStr">
        <is>
          <t>NORRBOTTENS LÄN</t>
        </is>
      </c>
      <c r="E121" t="inlineStr">
        <is>
          <t>ARJEPLOG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45792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48376-2023</t>
        </is>
      </c>
      <c r="B123" s="1" t="n">
        <v>45205</v>
      </c>
      <c r="C123" s="1" t="n">
        <v>45792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Aktiebolag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48940-2023</t>
        </is>
      </c>
      <c r="B124" s="1" t="n">
        <v>45205</v>
      </c>
      <c r="C124" s="1" t="n">
        <v>45792</v>
      </c>
      <c r="D124" t="inlineStr">
        <is>
          <t>NORRBOTTENS LÄN</t>
        </is>
      </c>
      <c r="E124" t="inlineStr">
        <is>
          <t>ARJEPLOG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58370-2023</t>
        </is>
      </c>
      <c r="B125" s="1" t="n">
        <v>45250</v>
      </c>
      <c r="C125" s="1" t="n">
        <v>45792</v>
      </c>
      <c r="D125" t="inlineStr">
        <is>
          <t>NORRBOTTENS LÄN</t>
        </is>
      </c>
      <c r="E125" t="inlineStr">
        <is>
          <t>ARJEPLOG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59124-2023</t>
        </is>
      </c>
      <c r="B126" s="1" t="n">
        <v>45251</v>
      </c>
      <c r="C126" s="1" t="n">
        <v>45792</v>
      </c>
      <c r="D126" t="inlineStr">
        <is>
          <t>NORRBOTTENS LÄN</t>
        </is>
      </c>
      <c r="E126" t="inlineStr">
        <is>
          <t>ARJEPLOG</t>
        </is>
      </c>
      <c r="G126" t="n">
        <v>22.3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62811-2023</t>
        </is>
      </c>
      <c r="B127" s="1" t="n">
        <v>45268</v>
      </c>
      <c r="C127" s="1" t="n">
        <v>45792</v>
      </c>
      <c r="D127" t="inlineStr">
        <is>
          <t>NORRBOTTENS LÄN</t>
        </is>
      </c>
      <c r="E127" t="inlineStr">
        <is>
          <t>ARJEPLOG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62813-2023</t>
        </is>
      </c>
      <c r="B128" s="1" t="n">
        <v>45268</v>
      </c>
      <c r="C128" s="1" t="n">
        <v>45792</v>
      </c>
      <c r="D128" t="inlineStr">
        <is>
          <t>NORRBOTTENS LÄN</t>
        </is>
      </c>
      <c r="E128" t="inlineStr">
        <is>
          <t>ARJEPLOG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62801-2023</t>
        </is>
      </c>
      <c r="B129" s="1" t="n">
        <v>45268</v>
      </c>
      <c r="C129" s="1" t="n">
        <v>45792</v>
      </c>
      <c r="D129" t="inlineStr">
        <is>
          <t>NORRBOTTENS LÄN</t>
        </is>
      </c>
      <c r="E129" t="inlineStr">
        <is>
          <t>ARJEPLOG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64832-2023</t>
        </is>
      </c>
      <c r="B130" s="1" t="n">
        <v>45281</v>
      </c>
      <c r="C130" s="1" t="n">
        <v>45792</v>
      </c>
      <c r="D130" t="inlineStr">
        <is>
          <t>NORRBOTTENS LÄN</t>
        </is>
      </c>
      <c r="E130" t="inlineStr">
        <is>
          <t>ARJEPLOG</t>
        </is>
      </c>
      <c r="G130" t="n">
        <v>43.6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45792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45792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64822-2023</t>
        </is>
      </c>
      <c r="B133" s="1" t="n">
        <v>45281</v>
      </c>
      <c r="C133" s="1" t="n">
        <v>45792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45792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45792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64837-2023</t>
        </is>
      </c>
      <c r="B136" s="1" t="n">
        <v>45281</v>
      </c>
      <c r="C136" s="1" t="n">
        <v>45792</v>
      </c>
      <c r="D136" t="inlineStr">
        <is>
          <t>NORRBOTTENS LÄN</t>
        </is>
      </c>
      <c r="E136" t="inlineStr">
        <is>
          <t>ARJEPLOG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3006-2024</t>
        </is>
      </c>
      <c r="B137" s="1" t="n">
        <v>45315</v>
      </c>
      <c r="C137" s="1" t="n">
        <v>45792</v>
      </c>
      <c r="D137" t="inlineStr">
        <is>
          <t>NORRBOTTENS LÄN</t>
        </is>
      </c>
      <c r="E137" t="inlineStr">
        <is>
          <t>ARJEPLOG</t>
        </is>
      </c>
      <c r="G137" t="n">
        <v>9.1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3360-2024</t>
        </is>
      </c>
      <c r="B138" s="1" t="n">
        <v>45317</v>
      </c>
      <c r="C138" s="1" t="n">
        <v>45792</v>
      </c>
      <c r="D138" t="inlineStr">
        <is>
          <t>NORRBOTTENS LÄN</t>
        </is>
      </c>
      <c r="E138" t="inlineStr">
        <is>
          <t>ARJEPLOG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7785-2024</t>
        </is>
      </c>
      <c r="B139" s="1" t="n">
        <v>45348</v>
      </c>
      <c r="C139" s="1" t="n">
        <v>45792</v>
      </c>
      <c r="D139" t="inlineStr">
        <is>
          <t>NORRBOTTENS LÄN</t>
        </is>
      </c>
      <c r="E139" t="inlineStr">
        <is>
          <t>ARJEPLOG</t>
        </is>
      </c>
      <c r="G139" t="n">
        <v>26.7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9840-2024</t>
        </is>
      </c>
      <c r="B140" s="1" t="n">
        <v>45362</v>
      </c>
      <c r="C140" s="1" t="n">
        <v>45792</v>
      </c>
      <c r="D140" t="inlineStr">
        <is>
          <t>NORRBOTTENS LÄN</t>
        </is>
      </c>
      <c r="E140" t="inlineStr">
        <is>
          <t>ARJEPLOG</t>
        </is>
      </c>
      <c r="G140" t="n">
        <v>12.9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19005-2024</t>
        </is>
      </c>
      <c r="B141" s="1" t="n">
        <v>45427</v>
      </c>
      <c r="C141" s="1" t="n">
        <v>45792</v>
      </c>
      <c r="D141" t="inlineStr">
        <is>
          <t>NORRBOTTENS LÄN</t>
        </is>
      </c>
      <c r="E141" t="inlineStr">
        <is>
          <t>ARJEPLOG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19443-2024</t>
        </is>
      </c>
      <c r="B142" s="1" t="n">
        <v>45429</v>
      </c>
      <c r="C142" s="1" t="n">
        <v>45792</v>
      </c>
      <c r="D142" t="inlineStr">
        <is>
          <t>NORRBOTTENS LÄN</t>
        </is>
      </c>
      <c r="E142" t="inlineStr">
        <is>
          <t>ARJEPLOG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19452-2024</t>
        </is>
      </c>
      <c r="B143" s="1" t="n">
        <v>45429</v>
      </c>
      <c r="C143" s="1" t="n">
        <v>45792</v>
      </c>
      <c r="D143" t="inlineStr">
        <is>
          <t>NORRBOTTENS LÄN</t>
        </is>
      </c>
      <c r="E143" t="inlineStr">
        <is>
          <t>ARJEPLOG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19442-2024</t>
        </is>
      </c>
      <c r="B144" s="1" t="n">
        <v>45429</v>
      </c>
      <c r="C144" s="1" t="n">
        <v>45792</v>
      </c>
      <c r="D144" t="inlineStr">
        <is>
          <t>NORRBOTTENS LÄN</t>
        </is>
      </c>
      <c r="E144" t="inlineStr">
        <is>
          <t>ARJEPLOG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19842-2024</t>
        </is>
      </c>
      <c r="B145" s="1" t="n">
        <v>45432</v>
      </c>
      <c r="C145" s="1" t="n">
        <v>45792</v>
      </c>
      <c r="D145" t="inlineStr">
        <is>
          <t>NORRBOTTENS LÄN</t>
        </is>
      </c>
      <c r="E145" t="inlineStr">
        <is>
          <t>ARJEPLOG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23949-2024</t>
        </is>
      </c>
      <c r="B146" s="1" t="n">
        <v>45455</v>
      </c>
      <c r="C146" s="1" t="n">
        <v>45792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23950-2024</t>
        </is>
      </c>
      <c r="B147" s="1" t="n">
        <v>45455</v>
      </c>
      <c r="C147" s="1" t="n">
        <v>45792</v>
      </c>
      <c r="D147" t="inlineStr">
        <is>
          <t>NORRBOTTENS LÄN</t>
        </is>
      </c>
      <c r="E147" t="inlineStr">
        <is>
          <t>ARJEPLOG</t>
        </is>
      </c>
      <c r="F147" t="inlineStr">
        <is>
          <t>SCA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23952-2024</t>
        </is>
      </c>
      <c r="B148" s="1" t="n">
        <v>45455</v>
      </c>
      <c r="C148" s="1" t="n">
        <v>45792</v>
      </c>
      <c r="D148" t="inlineStr">
        <is>
          <t>NORRBOTTENS LÄN</t>
        </is>
      </c>
      <c r="E148" t="inlineStr">
        <is>
          <t>ARJEPLOG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25928-2024</t>
        </is>
      </c>
      <c r="B149" s="1" t="n">
        <v>45467</v>
      </c>
      <c r="C149" s="1" t="n">
        <v>45792</v>
      </c>
      <c r="D149" t="inlineStr">
        <is>
          <t>NORRBOTTENS LÄN</t>
        </is>
      </c>
      <c r="E149" t="inlineStr">
        <is>
          <t>ARJEPLOG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26103-2024</t>
        </is>
      </c>
      <c r="B150" s="1" t="n">
        <v>45467</v>
      </c>
      <c r="C150" s="1" t="n">
        <v>45792</v>
      </c>
      <c r="D150" t="inlineStr">
        <is>
          <t>NORRBOTTENS LÄN</t>
        </is>
      </c>
      <c r="E150" t="inlineStr">
        <is>
          <t>ARJEPLOG</t>
        </is>
      </c>
      <c r="G150" t="n">
        <v>17.2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26148-2024</t>
        </is>
      </c>
      <c r="B151" s="1" t="n">
        <v>45467</v>
      </c>
      <c r="C151" s="1" t="n">
        <v>45792</v>
      </c>
      <c r="D151" t="inlineStr">
        <is>
          <t>NORRBOTTENS LÄN</t>
        </is>
      </c>
      <c r="E151" t="inlineStr">
        <is>
          <t>ARJEPLOG</t>
        </is>
      </c>
      <c r="G151" t="n">
        <v>18.1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26126-2024</t>
        </is>
      </c>
      <c r="B152" s="1" t="n">
        <v>45467</v>
      </c>
      <c r="C152" s="1" t="n">
        <v>45792</v>
      </c>
      <c r="D152" t="inlineStr">
        <is>
          <t>NORRBOTTENS LÄN</t>
        </is>
      </c>
      <c r="E152" t="inlineStr">
        <is>
          <t>ARJEPLOG</t>
        </is>
      </c>
      <c r="G152" t="n">
        <v>26.4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26109-2024</t>
        </is>
      </c>
      <c r="B153" s="1" t="n">
        <v>45467</v>
      </c>
      <c r="C153" s="1" t="n">
        <v>45792</v>
      </c>
      <c r="D153" t="inlineStr">
        <is>
          <t>NORRBOTTENS LÄN</t>
        </is>
      </c>
      <c r="E153" t="inlineStr">
        <is>
          <t>ARJEPLOG</t>
        </is>
      </c>
      <c r="G153" t="n">
        <v>16.6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26143-2024</t>
        </is>
      </c>
      <c r="B154" s="1" t="n">
        <v>45467</v>
      </c>
      <c r="C154" s="1" t="n">
        <v>45792</v>
      </c>
      <c r="D154" t="inlineStr">
        <is>
          <t>NORRBOTTENS LÄN</t>
        </is>
      </c>
      <c r="E154" t="inlineStr">
        <is>
          <t>ARJEPLOG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26470-2024</t>
        </is>
      </c>
      <c r="B155" s="1" t="n">
        <v>45468</v>
      </c>
      <c r="C155" s="1" t="n">
        <v>45792</v>
      </c>
      <c r="D155" t="inlineStr">
        <is>
          <t>NORRBOTTENS LÄN</t>
        </is>
      </c>
      <c r="E155" t="inlineStr">
        <is>
          <t>ARJEPLOG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26479-2024</t>
        </is>
      </c>
      <c r="B156" s="1" t="n">
        <v>45468</v>
      </c>
      <c r="C156" s="1" t="n">
        <v>45792</v>
      </c>
      <c r="D156" t="inlineStr">
        <is>
          <t>NORRBOTTENS LÄN</t>
        </is>
      </c>
      <c r="E156" t="inlineStr">
        <is>
          <t>ARJEPLOG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26472-2024</t>
        </is>
      </c>
      <c r="B157" s="1" t="n">
        <v>45469</v>
      </c>
      <c r="C157" s="1" t="n">
        <v>45792</v>
      </c>
      <c r="D157" t="inlineStr">
        <is>
          <t>NORRBOTTENS LÄN</t>
        </is>
      </c>
      <c r="E157" t="inlineStr">
        <is>
          <t>ARJEPLOG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26486-2024</t>
        </is>
      </c>
      <c r="B158" s="1" t="n">
        <v>45469</v>
      </c>
      <c r="C158" s="1" t="n">
        <v>45792</v>
      </c>
      <c r="D158" t="inlineStr">
        <is>
          <t>NORRBOTTENS LÄN</t>
        </is>
      </c>
      <c r="E158" t="inlineStr">
        <is>
          <t>ARJEPLOG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26506-2024</t>
        </is>
      </c>
      <c r="B159" s="1" t="n">
        <v>45469</v>
      </c>
      <c r="C159" s="1" t="n">
        <v>45792</v>
      </c>
      <c r="D159" t="inlineStr">
        <is>
          <t>NORRBOTTENS LÄN</t>
        </is>
      </c>
      <c r="E159" t="inlineStr">
        <is>
          <t>ARJEPLOG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26970-2024</t>
        </is>
      </c>
      <c r="B160" s="1" t="n">
        <v>45470</v>
      </c>
      <c r="C160" s="1" t="n">
        <v>45792</v>
      </c>
      <c r="D160" t="inlineStr">
        <is>
          <t>NORRBOTTENS LÄN</t>
        </is>
      </c>
      <c r="E160" t="inlineStr">
        <is>
          <t>ARJEPLOG</t>
        </is>
      </c>
      <c r="G160" t="n">
        <v>17.4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27240-2024</t>
        </is>
      </c>
      <c r="B161" s="1" t="n">
        <v>45471</v>
      </c>
      <c r="C161" s="1" t="n">
        <v>45792</v>
      </c>
      <c r="D161" t="inlineStr">
        <is>
          <t>NORRBOTTENS LÄN</t>
        </is>
      </c>
      <c r="E161" t="inlineStr">
        <is>
          <t>ARJEPLOG</t>
        </is>
      </c>
      <c r="F161" t="inlineStr">
        <is>
          <t>Allmännings- och besparingsskogar</t>
        </is>
      </c>
      <c r="G161" t="n">
        <v>18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29649-2024</t>
        </is>
      </c>
      <c r="B162" s="1" t="n">
        <v>45484</v>
      </c>
      <c r="C162" s="1" t="n">
        <v>45792</v>
      </c>
      <c r="D162" t="inlineStr">
        <is>
          <t>NORRBOTTENS LÄN</t>
        </is>
      </c>
      <c r="E162" t="inlineStr">
        <is>
          <t>ARJEPLOG</t>
        </is>
      </c>
      <c r="F162" t="inlineStr">
        <is>
          <t>Allmännings- och besparingsskogar</t>
        </is>
      </c>
      <c r="G162" t="n">
        <v>24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35668-2024</t>
        </is>
      </c>
      <c r="B163" s="1" t="n">
        <v>45532</v>
      </c>
      <c r="C163" s="1" t="n">
        <v>45792</v>
      </c>
      <c r="D163" t="inlineStr">
        <is>
          <t>NORRBOTTENS LÄN</t>
        </is>
      </c>
      <c r="E163" t="inlineStr">
        <is>
          <t>ARJEPLOG</t>
        </is>
      </c>
      <c r="F163" t="inlineStr">
        <is>
          <t>Allmännings- och besparingsskogar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41062-2024</t>
        </is>
      </c>
      <c r="B164" s="1" t="n">
        <v>45558</v>
      </c>
      <c r="C164" s="1" t="n">
        <v>45792</v>
      </c>
      <c r="D164" t="inlineStr">
        <is>
          <t>NORRBOTTENS LÄN</t>
        </is>
      </c>
      <c r="E164" t="inlineStr">
        <is>
          <t>ARJEPLOG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45014-2024</t>
        </is>
      </c>
      <c r="B165" s="1" t="n">
        <v>45575</v>
      </c>
      <c r="C165" s="1" t="n">
        <v>45792</v>
      </c>
      <c r="D165" t="inlineStr">
        <is>
          <t>NORRBOTTENS LÄN</t>
        </is>
      </c>
      <c r="E165" t="inlineStr">
        <is>
          <t>ARJEPLOG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45417-2024</t>
        </is>
      </c>
      <c r="B166" s="1" t="n">
        <v>45576</v>
      </c>
      <c r="C166" s="1" t="n">
        <v>45792</v>
      </c>
      <c r="D166" t="inlineStr">
        <is>
          <t>NORRBOTTENS LÄN</t>
        </is>
      </c>
      <c r="E166" t="inlineStr">
        <is>
          <t>ARJEPLOG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45326-2024</t>
        </is>
      </c>
      <c r="B167" s="1" t="n">
        <v>45576</v>
      </c>
      <c r="C167" s="1" t="n">
        <v>45792</v>
      </c>
      <c r="D167" t="inlineStr">
        <is>
          <t>NORRBOTTENS LÄN</t>
        </is>
      </c>
      <c r="E167" t="inlineStr">
        <is>
          <t>ARJEPLOG</t>
        </is>
      </c>
      <c r="F167" t="inlineStr">
        <is>
          <t>Sveaskog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45332-2024</t>
        </is>
      </c>
      <c r="B168" s="1" t="n">
        <v>45576</v>
      </c>
      <c r="C168" s="1" t="n">
        <v>45792</v>
      </c>
      <c r="D168" t="inlineStr">
        <is>
          <t>NORRBOTTENS LÄN</t>
        </is>
      </c>
      <c r="E168" t="inlineStr">
        <is>
          <t>ARJEPLOG</t>
        </is>
      </c>
      <c r="F168" t="inlineStr">
        <is>
          <t>Sveaskog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46910-2024</t>
        </is>
      </c>
      <c r="B169" s="1" t="n">
        <v>45583</v>
      </c>
      <c r="C169" s="1" t="n">
        <v>45792</v>
      </c>
      <c r="D169" t="inlineStr">
        <is>
          <t>NORRBOTTENS LÄN</t>
        </is>
      </c>
      <c r="E169" t="inlineStr">
        <is>
          <t>ARJEPLOG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53822-2024</t>
        </is>
      </c>
      <c r="B170" s="1" t="n">
        <v>45614</v>
      </c>
      <c r="C170" s="1" t="n">
        <v>45792</v>
      </c>
      <c r="D170" t="inlineStr">
        <is>
          <t>NORRBOTTENS LÄN</t>
        </is>
      </c>
      <c r="E170" t="inlineStr">
        <is>
          <t>ARJEPLOG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55124-2024</t>
        </is>
      </c>
      <c r="B171" s="1" t="n">
        <v>45618</v>
      </c>
      <c r="C171" s="1" t="n">
        <v>45792</v>
      </c>
      <c r="D171" t="inlineStr">
        <is>
          <t>NORRBOTTENS LÄN</t>
        </is>
      </c>
      <c r="E171" t="inlineStr">
        <is>
          <t>ARJEPLOG</t>
        </is>
      </c>
      <c r="G171" t="n">
        <v>18.3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55266-2024</t>
        </is>
      </c>
      <c r="B172" s="1" t="n">
        <v>45621</v>
      </c>
      <c r="C172" s="1" t="n">
        <v>45792</v>
      </c>
      <c r="D172" t="inlineStr">
        <is>
          <t>NORRBOTTENS LÄN</t>
        </is>
      </c>
      <c r="E172" t="inlineStr">
        <is>
          <t>ARJEPLOG</t>
        </is>
      </c>
      <c r="G172" t="n">
        <v>11.3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56794-2024</t>
        </is>
      </c>
      <c r="B173" s="1" t="n">
        <v>45625</v>
      </c>
      <c r="C173" s="1" t="n">
        <v>45792</v>
      </c>
      <c r="D173" t="inlineStr">
        <is>
          <t>NORRBOTTENS LÄN</t>
        </is>
      </c>
      <c r="E173" t="inlineStr">
        <is>
          <t>ARJEPLOG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56800-2024</t>
        </is>
      </c>
      <c r="B174" s="1" t="n">
        <v>45625</v>
      </c>
      <c r="C174" s="1" t="n">
        <v>45792</v>
      </c>
      <c r="D174" t="inlineStr">
        <is>
          <t>NORRBOTTENS LÄN</t>
        </is>
      </c>
      <c r="E174" t="inlineStr">
        <is>
          <t>ARJEPLOG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56782-2024</t>
        </is>
      </c>
      <c r="B175" s="1" t="n">
        <v>45625</v>
      </c>
      <c r="C175" s="1" t="n">
        <v>45792</v>
      </c>
      <c r="D175" t="inlineStr">
        <is>
          <t>NORRBOTTENS LÄN</t>
        </is>
      </c>
      <c r="E175" t="inlineStr">
        <is>
          <t>ARJEPLOG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56754-2024</t>
        </is>
      </c>
      <c r="B176" s="1" t="n">
        <v>45625</v>
      </c>
      <c r="C176" s="1" t="n">
        <v>45792</v>
      </c>
      <c r="D176" t="inlineStr">
        <is>
          <t>NORRBOTTENS LÄN</t>
        </is>
      </c>
      <c r="E176" t="inlineStr">
        <is>
          <t>ARJEPLOG</t>
        </is>
      </c>
      <c r="G176" t="n">
        <v>11.5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58777-2024</t>
        </is>
      </c>
      <c r="B177" s="1" t="n">
        <v>45635</v>
      </c>
      <c r="C177" s="1" t="n">
        <v>45792</v>
      </c>
      <c r="D177" t="inlineStr">
        <is>
          <t>NORRBOTTENS LÄN</t>
        </is>
      </c>
      <c r="E177" t="inlineStr">
        <is>
          <t>ARJEPLOG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58778-2024</t>
        </is>
      </c>
      <c r="B178" s="1" t="n">
        <v>45635</v>
      </c>
      <c r="C178" s="1" t="n">
        <v>45792</v>
      </c>
      <c r="D178" t="inlineStr">
        <is>
          <t>NORRBOTTENS LÄN</t>
        </is>
      </c>
      <c r="E178" t="inlineStr">
        <is>
          <t>ARJEPLOG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58989-2024</t>
        </is>
      </c>
      <c r="B179" s="1" t="n">
        <v>45636</v>
      </c>
      <c r="C179" s="1" t="n">
        <v>45792</v>
      </c>
      <c r="D179" t="inlineStr">
        <is>
          <t>NORRBOTTENS LÄN</t>
        </is>
      </c>
      <c r="E179" t="inlineStr">
        <is>
          <t>ARJEPLOG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61729-2024</t>
        </is>
      </c>
      <c r="B180" s="1" t="n">
        <v>45649</v>
      </c>
      <c r="C180" s="1" t="n">
        <v>45792</v>
      </c>
      <c r="D180" t="inlineStr">
        <is>
          <t>NORRBOTTENS LÄN</t>
        </is>
      </c>
      <c r="E180" t="inlineStr">
        <is>
          <t>ARJEPLOG</t>
        </is>
      </c>
      <c r="F180" t="inlineStr">
        <is>
          <t>Övriga statliga verk och myndigheter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526-2025</t>
        </is>
      </c>
      <c r="B181" s="1" t="n">
        <v>45664</v>
      </c>
      <c r="C181" s="1" t="n">
        <v>45792</v>
      </c>
      <c r="D181" t="inlineStr">
        <is>
          <t>NORRBOTTENS LÄN</t>
        </is>
      </c>
      <c r="E181" t="inlineStr">
        <is>
          <t>ARJEPLOG</t>
        </is>
      </c>
      <c r="F181" t="inlineStr">
        <is>
          <t>Övriga statliga verk och myndigheter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10825-2025</t>
        </is>
      </c>
      <c r="B182" s="1" t="n">
        <v>45722</v>
      </c>
      <c r="C182" s="1" t="n">
        <v>45792</v>
      </c>
      <c r="D182" t="inlineStr">
        <is>
          <t>NORRBOTTENS LÄN</t>
        </is>
      </c>
      <c r="E182" t="inlineStr">
        <is>
          <t>ARJEPLOG</t>
        </is>
      </c>
      <c r="G182" t="n">
        <v>14.1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12447-2025</t>
        </is>
      </c>
      <c r="B183" s="1" t="n">
        <v>45730</v>
      </c>
      <c r="C183" s="1" t="n">
        <v>45792</v>
      </c>
      <c r="D183" t="inlineStr">
        <is>
          <t>NORRBOTTENS LÄN</t>
        </is>
      </c>
      <c r="E183" t="inlineStr">
        <is>
          <t>ARJEPLOG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12409-2025</t>
        </is>
      </c>
      <c r="B184" s="1" t="n">
        <v>45730</v>
      </c>
      <c r="C184" s="1" t="n">
        <v>45792</v>
      </c>
      <c r="D184" t="inlineStr">
        <is>
          <t>NORRBOTTENS LÄN</t>
        </is>
      </c>
      <c r="E184" t="inlineStr">
        <is>
          <t>ARJEPLOG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13119-2025</t>
        </is>
      </c>
      <c r="B185" s="1" t="n">
        <v>45734</v>
      </c>
      <c r="C185" s="1" t="n">
        <v>45792</v>
      </c>
      <c r="D185" t="inlineStr">
        <is>
          <t>NORRBOTTENS LÄN</t>
        </is>
      </c>
      <c r="E185" t="inlineStr">
        <is>
          <t>ARJEPLOG</t>
        </is>
      </c>
      <c r="G185" t="n">
        <v>14.7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18923-2025</t>
        </is>
      </c>
      <c r="B186" s="1" t="n">
        <v>45764</v>
      </c>
      <c r="C186" s="1" t="n">
        <v>45792</v>
      </c>
      <c r="D186" t="inlineStr">
        <is>
          <t>NORRBOTTENS LÄN</t>
        </is>
      </c>
      <c r="E186" t="inlineStr">
        <is>
          <t>ARJEPLOG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20905-2025</t>
        </is>
      </c>
      <c r="B187" s="1" t="n">
        <v>45777</v>
      </c>
      <c r="C187" s="1" t="n">
        <v>45792</v>
      </c>
      <c r="D187" t="inlineStr">
        <is>
          <t>NORRBOTTENS LÄN</t>
        </is>
      </c>
      <c r="E187" t="inlineStr">
        <is>
          <t>ARJEPLOG</t>
        </is>
      </c>
      <c r="G187" t="n">
        <v>10.6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20916-2025</t>
        </is>
      </c>
      <c r="B188" s="1" t="n">
        <v>45777</v>
      </c>
      <c r="C188" s="1" t="n">
        <v>45792</v>
      </c>
      <c r="D188" t="inlineStr">
        <is>
          <t>NORRBOTTENS LÄN</t>
        </is>
      </c>
      <c r="E188" t="inlineStr">
        <is>
          <t>ARJEPLOG</t>
        </is>
      </c>
      <c r="G188" t="n">
        <v>11.2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20896-2025</t>
        </is>
      </c>
      <c r="B189" s="1" t="n">
        <v>45777</v>
      </c>
      <c r="C189" s="1" t="n">
        <v>45792</v>
      </c>
      <c r="D189" t="inlineStr">
        <is>
          <t>NORRBOTTENS LÄN</t>
        </is>
      </c>
      <c r="E189" t="inlineStr">
        <is>
          <t>ARJEPLOG</t>
        </is>
      </c>
      <c r="G189" t="n">
        <v>45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20919-2025</t>
        </is>
      </c>
      <c r="B190" s="1" t="n">
        <v>45777</v>
      </c>
      <c r="C190" s="1" t="n">
        <v>45792</v>
      </c>
      <c r="D190" t="inlineStr">
        <is>
          <t>NORRBOTTENS LÄN</t>
        </is>
      </c>
      <c r="E190" t="inlineStr">
        <is>
          <t>ARJEPLOG</t>
        </is>
      </c>
      <c r="G190" t="n">
        <v>78.40000000000001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2025-05-15T16:47:40Z</dcterms:created>
  <dcterms:modified xmlns:dcterms="http://purl.org/dc/terms/" xmlns:xsi="http://www.w3.org/2001/XMLSchema-instance" xsi:type="dcterms:W3CDTF">2025-05-15T16:47:40Z</dcterms:modified>
</cp:coreProperties>
</file>