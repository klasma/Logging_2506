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46255</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46255</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46255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46255</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46255</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46255</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46255</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46255</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46255</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46255</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46255</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46255</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46255</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46255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46255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46255</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46255</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46255</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46255</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46255</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46255</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46255</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46255</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46255</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46255</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46255</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46255</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46255</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46255</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10476-2026</t>
        </is>
      </c>
      <c r="B43" t="inlineStr">
        <is>
          <t>avverkningsanmälan</t>
        </is>
      </c>
      <c r="C43" t="inlineStr">
        <is>
          <t>Föryngringsavverkning</t>
        </is>
      </c>
      <c r="D43" s="1" t="n">
        <v>46076</v>
      </c>
      <c r="E43" s="1" t="n">
        <v>46255</v>
      </c>
      <c r="F43" t="inlineStr">
        <is>
          <t>NORRBOTTENS LÄN</t>
        </is>
      </c>
      <c r="G43" t="inlineStr">
        <is>
          <t>ARJEPLOG</t>
        </is>
      </c>
      <c r="I43" t="n">
        <v>3.2</v>
      </c>
      <c r="J43" t="n">
        <v>1</v>
      </c>
      <c r="K43" t="n">
        <v>1</v>
      </c>
      <c r="L43" t="n">
        <v>0</v>
      </c>
      <c r="M43" t="n">
        <v>0</v>
      </c>
      <c r="N43" t="n">
        <v>0</v>
      </c>
      <c r="O43" t="n">
        <v>0</v>
      </c>
      <c r="P43" t="n">
        <v>0</v>
      </c>
      <c r="Q43" t="n">
        <v>0</v>
      </c>
      <c r="R43" t="n">
        <v>0</v>
      </c>
      <c r="S43" t="n">
        <v>1</v>
      </c>
      <c r="T43" t="n">
        <v>1</v>
      </c>
      <c r="U43" t="n">
        <v>1</v>
      </c>
      <c r="V43" s="2" t="inlineStr">
        <is>
          <t>Spindelblomster</t>
        </is>
      </c>
      <c r="W43">
        <f>HYPERLINK("https://klasma.github.io/Logging_2506/artfynd/A 10476-2026 artfynd.xlsx", "A 10476-2026")</f>
        <v/>
      </c>
      <c r="X43">
        <f>HYPERLINK("https://klasma.github.io/Logging_2506/kartor/A 10476-2026 karta.png", "A 10476-2026")</f>
        <v/>
      </c>
      <c r="Y43">
        <f>HYPERLINK("https://klasma.github.io/Logging_2506/kartor_geotiff/A 10476-2026 georefererad karta.tif", "A 10476-2026")</f>
        <v/>
      </c>
      <c r="AA43">
        <f>HYPERLINK("https://klasma.github.io/Logging_2506/klagomål/A 10476-2026 FSC-klagomål.docx", "A 10476-2026")</f>
        <v/>
      </c>
      <c r="AB43">
        <f>HYPERLINK("https://klasma.github.io/Logging_2506/klagomålsmail/A 10476-2026 FSC-klagomål mail.docx", "A 10476-2026")</f>
        <v/>
      </c>
      <c r="AC43">
        <f>HYPERLINK("https://klasma.github.io/Logging_2506/tillsyn/A 10476-2026 tillsynsbegäran.docx", "A 10476-2026")</f>
        <v/>
      </c>
      <c r="AD43">
        <f>HYPERLINK("https://klasma.github.io/Logging_2506/tillsynsmail/A 10476-2026 tillsynsbegäran mail.docx", "A 10476-2026")</f>
        <v/>
      </c>
    </row>
    <row r="44" ht="15" customHeight="1">
      <c r="A44" t="inlineStr">
        <is>
          <t>A 20905-2025</t>
        </is>
      </c>
      <c r="B44" t="inlineStr">
        <is>
          <t>avverkningsanmälan</t>
        </is>
      </c>
      <c r="C44" t="inlineStr">
        <is>
          <t>Föryngringsavverkning</t>
        </is>
      </c>
      <c r="D44" s="1" t="n">
        <v>45777</v>
      </c>
      <c r="E44" s="1" t="n">
        <v>46255</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17549-2023</t>
        </is>
      </c>
      <c r="B45" t="inlineStr">
        <is>
          <t>avverkningsanmälan</t>
        </is>
      </c>
      <c r="C45" t="inlineStr">
        <is>
          <t>Föryngringsavverkning</t>
        </is>
      </c>
      <c r="D45" s="1" t="n">
        <v>45034</v>
      </c>
      <c r="E45" s="1" t="n">
        <v>46255</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46255</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66844-2021</t>
        </is>
      </c>
      <c r="B47" t="inlineStr">
        <is>
          <t>avverkningsanmälan</t>
        </is>
      </c>
      <c r="C47" t="inlineStr">
        <is>
          <t>Föryngringsavverkning</t>
        </is>
      </c>
      <c r="D47" s="1" t="n">
        <v>44520</v>
      </c>
      <c r="E47" s="1" t="n">
        <v>46255</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46255</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46255</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46255</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46255</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46255</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46255</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46255</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46255</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46255</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46255</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46255</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46255</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46255</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46255</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36623-2023</t>
        </is>
      </c>
      <c r="B62" t="inlineStr">
        <is>
          <t>avverkningsanmälan</t>
        </is>
      </c>
      <c r="C62" t="inlineStr">
        <is>
          <t>Föryngringsavverkning</t>
        </is>
      </c>
      <c r="D62" s="1" t="n">
        <v>45153</v>
      </c>
      <c r="E62" s="1" t="n">
        <v>46255</v>
      </c>
      <c r="F62" t="inlineStr">
        <is>
          <t>NORRBOTTENS LÄN</t>
        </is>
      </c>
      <c r="G62" t="inlineStr">
        <is>
          <t>ARJEPLOG</t>
        </is>
      </c>
      <c r="H62" t="inlineStr">
        <is>
          <t>Sveaskog</t>
        </is>
      </c>
      <c r="I62" t="n">
        <v>16.9</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46255</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46255</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31104-2025</t>
        </is>
      </c>
      <c r="B65" t="inlineStr">
        <is>
          <t>avverkningsanmälan</t>
        </is>
      </c>
      <c r="C65" t="inlineStr">
        <is>
          <t>Föryngringsavverkning</t>
        </is>
      </c>
      <c r="D65" s="1" t="n">
        <v>45832</v>
      </c>
      <c r="E65" s="1" t="n">
        <v>46255</v>
      </c>
      <c r="F65" t="inlineStr">
        <is>
          <t>NORRBOTTENS LÄN</t>
        </is>
      </c>
      <c r="G65" t="inlineStr">
        <is>
          <t>ARJEPLOG</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25275-2023</t>
        </is>
      </c>
      <c r="B66" t="inlineStr">
        <is>
          <t>avverkningsanmälan</t>
        </is>
      </c>
      <c r="C66" t="inlineStr">
        <is>
          <t>Föryngringsavverkning</t>
        </is>
      </c>
      <c r="D66" s="1" t="n">
        <v>45079</v>
      </c>
      <c r="E66" s="1" t="n">
        <v>46255</v>
      </c>
      <c r="F66" t="inlineStr">
        <is>
          <t>NORRBOTTENS LÄN</t>
        </is>
      </c>
      <c r="G66" t="inlineStr">
        <is>
          <t>ARJEPLOG</t>
        </is>
      </c>
      <c r="H66" t="inlineStr">
        <is>
          <t>Övriga statliga verk och myndigheter</t>
        </is>
      </c>
      <c r="I66" t="n">
        <v>22.7</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46255</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25559-2022</t>
        </is>
      </c>
      <c r="B68" t="inlineStr">
        <is>
          <t>avverkningsanmälan</t>
        </is>
      </c>
      <c r="C68" t="inlineStr">
        <is>
          <t>Föryngringsavverkning</t>
        </is>
      </c>
      <c r="D68" s="1" t="n">
        <v>44732</v>
      </c>
      <c r="E68" s="1" t="n">
        <v>46255</v>
      </c>
      <c r="F68" t="inlineStr">
        <is>
          <t>NORRBOTTENS LÄN</t>
        </is>
      </c>
      <c r="G68" t="inlineStr">
        <is>
          <t>ARJEPLOG</t>
        </is>
      </c>
      <c r="H68" t="inlineStr">
        <is>
          <t>Övriga statliga verk och myndigheter</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55422-2021</t>
        </is>
      </c>
      <c r="B69" t="inlineStr">
        <is>
          <t>avverkningsanmälan</t>
        </is>
      </c>
      <c r="C69" t="inlineStr">
        <is>
          <t>Avverkning för annat ändamål</t>
        </is>
      </c>
      <c r="D69" s="1" t="n">
        <v>44475</v>
      </c>
      <c r="E69" s="1" t="n">
        <v>46255</v>
      </c>
      <c r="F69" t="inlineStr">
        <is>
          <t>NORRBOTTENS LÄN</t>
        </is>
      </c>
      <c r="G69" t="inlineStr">
        <is>
          <t>ARJEPLOG</t>
        </is>
      </c>
      <c r="H69" t="inlineStr">
        <is>
          <t>Sveaskog</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46255</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29662-2025</t>
        </is>
      </c>
      <c r="B71" t="inlineStr">
        <is>
          <t>avverkningsanmälan</t>
        </is>
      </c>
      <c r="C71" t="inlineStr">
        <is>
          <t>Föryngringsavverkning</t>
        </is>
      </c>
      <c r="D71" s="1" t="n">
        <v>45825</v>
      </c>
      <c r="E71" s="1" t="n">
        <v>46255</v>
      </c>
      <c r="F71" t="inlineStr">
        <is>
          <t>NORRBOTTENS LÄN</t>
        </is>
      </c>
      <c r="G71" t="inlineStr">
        <is>
          <t>ARJEPLOG</t>
        </is>
      </c>
      <c r="H71" t="inlineStr">
        <is>
          <t>Allmännings- och besparingsskogar</t>
        </is>
      </c>
      <c r="I71" t="n">
        <v>23.7</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46255</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42597-2025</t>
        </is>
      </c>
      <c r="B73" t="inlineStr">
        <is>
          <t>avverkningsanmälan</t>
        </is>
      </c>
      <c r="C73" t="inlineStr">
        <is>
          <t>Föryngringsavverkning</t>
        </is>
      </c>
      <c r="D73" s="1" t="n">
        <v>45905</v>
      </c>
      <c r="E73" s="1" t="n">
        <v>46255</v>
      </c>
      <c r="F73" t="inlineStr">
        <is>
          <t>NORRBOTTENS LÄN</t>
        </is>
      </c>
      <c r="G73" t="inlineStr">
        <is>
          <t>ARJEPLOG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42526-2025</t>
        </is>
      </c>
      <c r="B74" t="inlineStr">
        <is>
          <t>avverkningsanmälan</t>
        </is>
      </c>
      <c r="C74" t="inlineStr">
        <is>
          <t>Föryngringsavverkning</t>
        </is>
      </c>
      <c r="D74" s="1" t="n">
        <v>45905</v>
      </c>
      <c r="E74" s="1" t="n">
        <v>46255</v>
      </c>
      <c r="F74" t="inlineStr">
        <is>
          <t>NORRBOTTENS LÄN</t>
        </is>
      </c>
      <c r="G74" t="inlineStr">
        <is>
          <t>ARJEPLOG</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58989-2024</t>
        </is>
      </c>
      <c r="B75" t="inlineStr">
        <is>
          <t>avverkningsanmälan</t>
        </is>
      </c>
      <c r="C75" t="inlineStr">
        <is>
          <t>Avverkning för annat ändamål</t>
        </is>
      </c>
      <c r="D75" s="1" t="n">
        <v>45636</v>
      </c>
      <c r="E75" s="1" t="n">
        <v>46255</v>
      </c>
      <c r="F75" t="inlineStr">
        <is>
          <t>NORRBOTTENS LÄN</t>
        </is>
      </c>
      <c r="G75" t="inlineStr">
        <is>
          <t>ARJEPLOG</t>
        </is>
      </c>
      <c r="H75" t="inlineStr">
        <is>
          <t>Sveaskog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46255</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46255</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28354-2022</t>
        </is>
      </c>
      <c r="B78" t="inlineStr">
        <is>
          <t>avverkningsanmälan</t>
        </is>
      </c>
      <c r="C78" t="inlineStr">
        <is>
          <t>Avverkning för annat ändamål</t>
        </is>
      </c>
      <c r="D78" s="1" t="n">
        <v>44735</v>
      </c>
      <c r="E78" s="1" t="n">
        <v>46255</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46255</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61729-2024</t>
        </is>
      </c>
      <c r="B80" t="inlineStr">
        <is>
          <t>avverkningsanmälan</t>
        </is>
      </c>
      <c r="C80" t="inlineStr">
        <is>
          <t>Avverkning för annat ändamål</t>
        </is>
      </c>
      <c r="D80" s="1" t="n">
        <v>45649</v>
      </c>
      <c r="E80" s="1" t="n">
        <v>46255</v>
      </c>
      <c r="F80" t="inlineStr">
        <is>
          <t>NORRBOTTENS LÄN</t>
        </is>
      </c>
      <c r="G80" t="inlineStr">
        <is>
          <t>ARJEPLOG</t>
        </is>
      </c>
      <c r="H80" t="inlineStr">
        <is>
          <t>Övriga statliga verk och myndigheter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25270-2023</t>
        </is>
      </c>
      <c r="B81" t="inlineStr">
        <is>
          <t>avverkningsanmälan</t>
        </is>
      </c>
      <c r="C81" t="inlineStr">
        <is>
          <t>Föryngringsavverkning</t>
        </is>
      </c>
      <c r="D81" s="1" t="n">
        <v>45079</v>
      </c>
      <c r="E81" s="1" t="n">
        <v>46255</v>
      </c>
      <c r="F81" t="inlineStr">
        <is>
          <t>NORRBOTTENS LÄN</t>
        </is>
      </c>
      <c r="G81" t="inlineStr">
        <is>
          <t>ARJEPLOG</t>
        </is>
      </c>
      <c r="H81" t="inlineStr">
        <is>
          <t>Övriga statliga verk och myndigheter</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45072-2023</t>
        </is>
      </c>
      <c r="B82" t="inlineStr">
        <is>
          <t>avverkningsanmälan</t>
        </is>
      </c>
      <c r="C82" t="inlineStr">
        <is>
          <t>Föryngringsavverkning</t>
        </is>
      </c>
      <c r="D82" s="1" t="n">
        <v>45187</v>
      </c>
      <c r="E82" s="1" t="n">
        <v>46255</v>
      </c>
      <c r="F82" t="inlineStr">
        <is>
          <t>NORRBOTTENS LÄN</t>
        </is>
      </c>
      <c r="G82" t="inlineStr">
        <is>
          <t>ARJEPLOG</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52581-2022</t>
        </is>
      </c>
      <c r="B83" t="inlineStr">
        <is>
          <t>avverkningsanmälan</t>
        </is>
      </c>
      <c r="C83" t="inlineStr">
        <is>
          <t>Föryngringsavverkning</t>
        </is>
      </c>
      <c r="D83" s="1" t="n">
        <v>44874</v>
      </c>
      <c r="E83" s="1" t="n">
        <v>46255</v>
      </c>
      <c r="F83" t="inlineStr">
        <is>
          <t>NORRBOTTENS LÄN</t>
        </is>
      </c>
      <c r="G83" t="inlineStr">
        <is>
          <t>ARJEPLOG</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46255</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54589-2021</t>
        </is>
      </c>
      <c r="B85" t="inlineStr">
        <is>
          <t>avverkningsanmälan</t>
        </is>
      </c>
      <c r="C85" t="inlineStr">
        <is>
          <t>Föryngringsavverkning</t>
        </is>
      </c>
      <c r="D85" s="1" t="n">
        <v>44473</v>
      </c>
      <c r="E85" s="1" t="n">
        <v>46255</v>
      </c>
      <c r="F85" t="inlineStr">
        <is>
          <t>NORRBOTTENS LÄN</t>
        </is>
      </c>
      <c r="G85" t="inlineStr">
        <is>
          <t>ARJEPLOG</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17536-2023</t>
        </is>
      </c>
      <c r="B86" t="inlineStr">
        <is>
          <t>avverkningsanmälan</t>
        </is>
      </c>
      <c r="C86" t="inlineStr">
        <is>
          <t>Föryngringsavverkning</t>
        </is>
      </c>
      <c r="D86" s="1" t="n">
        <v>45034</v>
      </c>
      <c r="E86" s="1" t="n">
        <v>46255</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46255</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46255</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46255</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14861-2026</t>
        </is>
      </c>
      <c r="B90" t="inlineStr">
        <is>
          <t>avverkningsanmälan</t>
        </is>
      </c>
      <c r="C90" t="inlineStr">
        <is>
          <t>Föryngringsavverkning</t>
        </is>
      </c>
      <c r="D90" s="1" t="n">
        <v>46104</v>
      </c>
      <c r="E90" s="1" t="n">
        <v>46255</v>
      </c>
      <c r="F90" t="inlineStr">
        <is>
          <t>NORRBOTTENS LÄN</t>
        </is>
      </c>
      <c r="G90" t="inlineStr">
        <is>
          <t>ARJEPLOG</t>
        </is>
      </c>
      <c r="H90" t="inlineStr">
        <is>
          <t>Sveaskog</t>
        </is>
      </c>
      <c r="I90" t="n">
        <v>31.7</v>
      </c>
      <c r="J90" t="n">
        <v>0</v>
      </c>
      <c r="K90" t="n">
        <v>0</v>
      </c>
      <c r="L90" t="n">
        <v>0</v>
      </c>
      <c r="M90" t="n">
        <v>0</v>
      </c>
      <c r="N90" t="n">
        <v>0</v>
      </c>
      <c r="O90" t="n">
        <v>0</v>
      </c>
      <c r="P90" t="n">
        <v>0</v>
      </c>
      <c r="Q90" t="n">
        <v>0</v>
      </c>
      <c r="R90" t="n">
        <v>0</v>
      </c>
      <c r="S90" t="n">
        <v>0</v>
      </c>
      <c r="T90" t="n">
        <v>0</v>
      </c>
      <c r="U90" t="n">
        <v>0</v>
      </c>
      <c r="V90" s="2" t="inlineStr"/>
    </row>
    <row r="91" ht="15" customHeight="1">
      <c r="A91" t="inlineStr">
        <is>
          <t>A 3006-2024</t>
        </is>
      </c>
      <c r="B91" t="inlineStr">
        <is>
          <t>avverkningsanmälan</t>
        </is>
      </c>
      <c r="C91" t="inlineStr">
        <is>
          <t>Föryngringsavverkning</t>
        </is>
      </c>
      <c r="D91" s="1" t="n">
        <v>45315</v>
      </c>
      <c r="E91" s="1" t="n">
        <v>46255</v>
      </c>
      <c r="F91" t="inlineStr">
        <is>
          <t>NORRBOTTENS LÄN</t>
        </is>
      </c>
      <c r="G91" t="inlineStr">
        <is>
          <t>ARJEPLOG</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25440-2024</t>
        </is>
      </c>
      <c r="B92" t="inlineStr">
        <is>
          <t>avverkningsanmälan</t>
        </is>
      </c>
      <c r="C92" t="inlineStr">
        <is>
          <t>Föryngringsavverkning</t>
        </is>
      </c>
      <c r="D92" s="1" t="n">
        <v>45463</v>
      </c>
      <c r="E92" s="1" t="n">
        <v>46255</v>
      </c>
      <c r="F92" t="inlineStr">
        <is>
          <t>NORRBOTTENS LÄN</t>
        </is>
      </c>
      <c r="G92" t="inlineStr">
        <is>
          <t>ARJEPLOG</t>
        </is>
      </c>
      <c r="H92" t="inlineStr">
        <is>
          <t>Allmännings- och besparingsskogar</t>
        </is>
      </c>
      <c r="I92" t="n">
        <v>30.7</v>
      </c>
      <c r="J92" t="n">
        <v>0</v>
      </c>
      <c r="K92" t="n">
        <v>0</v>
      </c>
      <c r="L92" t="n">
        <v>0</v>
      </c>
      <c r="M92" t="n">
        <v>0</v>
      </c>
      <c r="N92" t="n">
        <v>0</v>
      </c>
      <c r="O92" t="n">
        <v>0</v>
      </c>
      <c r="P92" t="n">
        <v>0</v>
      </c>
      <c r="Q92" t="n">
        <v>0</v>
      </c>
      <c r="R92" t="n">
        <v>0</v>
      </c>
      <c r="S92" t="n">
        <v>0</v>
      </c>
      <c r="T92" t="n">
        <v>0</v>
      </c>
      <c r="U92" t="n">
        <v>0</v>
      </c>
      <c r="V92" s="2" t="inlineStr"/>
    </row>
    <row r="93" ht="15" customHeight="1">
      <c r="A93" t="inlineStr">
        <is>
          <t>A 12447-2025</t>
        </is>
      </c>
      <c r="B93" t="inlineStr">
        <is>
          <t>avverkningsanmälan</t>
        </is>
      </c>
      <c r="C93" t="inlineStr">
        <is>
          <t>Föryngringsavverkning</t>
        </is>
      </c>
      <c r="D93" s="1" t="n">
        <v>45730</v>
      </c>
      <c r="E93" s="1" t="n">
        <v>46255</v>
      </c>
      <c r="F93" t="inlineStr">
        <is>
          <t>NORRBOTTENS LÄN</t>
        </is>
      </c>
      <c r="G93" t="inlineStr">
        <is>
          <t>ARJEPLOG</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25239-2023</t>
        </is>
      </c>
      <c r="B94" t="inlineStr">
        <is>
          <t>avverkningsanmälan</t>
        </is>
      </c>
      <c r="C94" t="inlineStr">
        <is>
          <t>Föryngringsavverkning</t>
        </is>
      </c>
      <c r="D94" s="1" t="n">
        <v>45079</v>
      </c>
      <c r="E94" s="1" t="n">
        <v>46255</v>
      </c>
      <c r="F94" t="inlineStr">
        <is>
          <t>NORRBOTTENS LÄN</t>
        </is>
      </c>
      <c r="G94" t="inlineStr">
        <is>
          <t>ARJEPLOG</t>
        </is>
      </c>
      <c r="H94" t="inlineStr">
        <is>
          <t>Övriga statliga verk och myndigheter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46255</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56800-2024</t>
        </is>
      </c>
      <c r="B96" t="inlineStr">
        <is>
          <t>avverkningsanmälan</t>
        </is>
      </c>
      <c r="C96" t="inlineStr">
        <is>
          <t>Föryngringsavverkning</t>
        </is>
      </c>
      <c r="D96" s="1" t="n">
        <v>45625</v>
      </c>
      <c r="E96" s="1" t="n">
        <v>46255</v>
      </c>
      <c r="F96" t="inlineStr">
        <is>
          <t>NORRBOTTENS LÄN</t>
        </is>
      </c>
      <c r="G96" t="inlineStr">
        <is>
          <t>ARJEPLOG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26486-2024</t>
        </is>
      </c>
      <c r="B97" t="inlineStr">
        <is>
          <t>avverkningsanmälan</t>
        </is>
      </c>
      <c r="C97" t="inlineStr">
        <is>
          <t>Föryngringsavverkning</t>
        </is>
      </c>
      <c r="D97" s="1" t="n">
        <v>45469</v>
      </c>
      <c r="E97" s="1" t="n">
        <v>46255</v>
      </c>
      <c r="F97" t="inlineStr">
        <is>
          <t>NORRBOTTENS LÄN</t>
        </is>
      </c>
      <c r="G97" t="inlineStr">
        <is>
          <t>ARJEPLOG</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20322-2026</t>
        </is>
      </c>
      <c r="B98" t="inlineStr">
        <is>
          <t>avverkningsanmälan</t>
        </is>
      </c>
      <c r="C98" t="inlineStr">
        <is>
          <t>Föryngringsavverkning</t>
        </is>
      </c>
      <c r="D98" s="1" t="n">
        <v>46139</v>
      </c>
      <c r="E98" s="1" t="n">
        <v>46255</v>
      </c>
      <c r="F98" t="inlineStr">
        <is>
          <t>NORRBOTTENS LÄN</t>
        </is>
      </c>
      <c r="G98" t="inlineStr">
        <is>
          <t>ARJEPLOG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20319-2026</t>
        </is>
      </c>
      <c r="B99" t="inlineStr">
        <is>
          <t>avverkningsanmälan</t>
        </is>
      </c>
      <c r="C99" t="inlineStr">
        <is>
          <t>Föryngringsavverkning</t>
        </is>
      </c>
      <c r="D99" s="1" t="n">
        <v>46139</v>
      </c>
      <c r="E99" s="1" t="n">
        <v>46255</v>
      </c>
      <c r="F99" t="inlineStr">
        <is>
          <t>NORRBOTTENS LÄN</t>
        </is>
      </c>
      <c r="G99" t="inlineStr">
        <is>
          <t>ARJEPLOG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20326-2026</t>
        </is>
      </c>
      <c r="B100" t="inlineStr">
        <is>
          <t>avverkningsanmälan</t>
        </is>
      </c>
      <c r="C100" t="inlineStr">
        <is>
          <t>Föryngringsavverkning</t>
        </is>
      </c>
      <c r="D100" s="1" t="n">
        <v>46139</v>
      </c>
      <c r="E100" s="1" t="n">
        <v>46255</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26472-2024</t>
        </is>
      </c>
      <c r="B101" t="inlineStr">
        <is>
          <t>avverkningsanmälan</t>
        </is>
      </c>
      <c r="C101" t="inlineStr">
        <is>
          <t>Föryngringsavverkning</t>
        </is>
      </c>
      <c r="D101" s="1" t="n">
        <v>45469</v>
      </c>
      <c r="E101" s="1" t="n">
        <v>46255</v>
      </c>
      <c r="F101" t="inlineStr">
        <is>
          <t>NORRBOTTENS LÄN</t>
        </is>
      </c>
      <c r="G101" t="inlineStr">
        <is>
          <t>ARJEPLOG</t>
        </is>
      </c>
      <c r="I101" t="n">
        <v>8.199999999999999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56782-2024</t>
        </is>
      </c>
      <c r="B102" t="inlineStr">
        <is>
          <t>avverkningsanmälan</t>
        </is>
      </c>
      <c r="C102" t="inlineStr">
        <is>
          <t>Föryngringsavverkning</t>
        </is>
      </c>
      <c r="D102" s="1" t="n">
        <v>45625</v>
      </c>
      <c r="E102" s="1" t="n">
        <v>46255</v>
      </c>
      <c r="F102" t="inlineStr">
        <is>
          <t>NORRBOTTENS LÄN</t>
        </is>
      </c>
      <c r="G102" t="inlineStr">
        <is>
          <t>ARJEPLOG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56794-2024</t>
        </is>
      </c>
      <c r="B103" t="inlineStr">
        <is>
          <t>avverkningsanmälan</t>
        </is>
      </c>
      <c r="C103" t="inlineStr">
        <is>
          <t>Föryngringsavverkning</t>
        </is>
      </c>
      <c r="D103" s="1" t="n">
        <v>45625</v>
      </c>
      <c r="E103" s="1" t="n">
        <v>46255</v>
      </c>
      <c r="F103" t="inlineStr">
        <is>
          <t>NORRBOTTENS LÄN</t>
        </is>
      </c>
      <c r="G103" t="inlineStr">
        <is>
          <t>ARJEPLOG</t>
        </is>
      </c>
      <c r="I103" t="n">
        <v>7.5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12409-2025</t>
        </is>
      </c>
      <c r="B104" t="inlineStr">
        <is>
          <t>avverkningsanmälan</t>
        </is>
      </c>
      <c r="C104" t="inlineStr">
        <is>
          <t>Föryngringsavverkning</t>
        </is>
      </c>
      <c r="D104" s="1" t="n">
        <v>45730</v>
      </c>
      <c r="E104" s="1" t="n">
        <v>46255</v>
      </c>
      <c r="F104" t="inlineStr">
        <is>
          <t>NORRBOTTENS LÄN</t>
        </is>
      </c>
      <c r="G104" t="inlineStr">
        <is>
          <t>ARJEPLOG</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26811-2022</t>
        </is>
      </c>
      <c r="B105" t="inlineStr">
        <is>
          <t>avverkningsanmälan</t>
        </is>
      </c>
      <c r="C105" t="inlineStr">
        <is>
          <t>Avverkning för annat ändamål</t>
        </is>
      </c>
      <c r="D105" s="1" t="n">
        <v>44735</v>
      </c>
      <c r="E105" s="1" t="n">
        <v>46255</v>
      </c>
      <c r="F105" t="inlineStr">
        <is>
          <t>NORRBOTTENS LÄN</t>
        </is>
      </c>
      <c r="G105" t="inlineStr">
        <is>
          <t>ARJEPLOG</t>
        </is>
      </c>
      <c r="H105" t="inlineStr">
        <is>
          <t>Övriga statliga verk och myndigheter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27092-2022</t>
        </is>
      </c>
      <c r="B106" t="inlineStr">
        <is>
          <t>avverkningsanmälan</t>
        </is>
      </c>
      <c r="C106" t="inlineStr">
        <is>
          <t>Föryngringsavverkning</t>
        </is>
      </c>
      <c r="D106" s="1" t="n">
        <v>44741</v>
      </c>
      <c r="E106" s="1" t="n">
        <v>46255</v>
      </c>
      <c r="F106" t="inlineStr">
        <is>
          <t>NORRBOTTENS LÄN</t>
        </is>
      </c>
      <c r="G106" t="inlineStr">
        <is>
          <t>ARJEPLOG</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44218-2023</t>
        </is>
      </c>
      <c r="B107" t="inlineStr">
        <is>
          <t>avverkningsanmälan</t>
        </is>
      </c>
      <c r="C107" t="inlineStr">
        <is>
          <t>Avverkning för annat ändamål</t>
        </is>
      </c>
      <c r="D107" s="1" t="n">
        <v>45183</v>
      </c>
      <c r="E107" s="1" t="n">
        <v>46255</v>
      </c>
      <c r="F107" t="inlineStr">
        <is>
          <t>NORRBOTTENS LÄN</t>
        </is>
      </c>
      <c r="G107" t="inlineStr">
        <is>
          <t>ARJEPLOG</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64840-2023</t>
        </is>
      </c>
      <c r="B108" t="inlineStr">
        <is>
          <t>avverkningsanmälan</t>
        </is>
      </c>
      <c r="C108" t="inlineStr">
        <is>
          <t>Föryngringsavverkning</t>
        </is>
      </c>
      <c r="D108" s="1" t="n">
        <v>45281</v>
      </c>
      <c r="E108" s="1" t="n">
        <v>46255</v>
      </c>
      <c r="F108" t="inlineStr">
        <is>
          <t>NORRBOTTENS LÄN</t>
        </is>
      </c>
      <c r="G108" t="inlineStr">
        <is>
          <t>ARJEPLOG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23335-2026</t>
        </is>
      </c>
      <c r="B109" t="inlineStr">
        <is>
          <t>avverkningsanmälan</t>
        </is>
      </c>
      <c r="C109" t="inlineStr">
        <is>
          <t>Föryngringsavverkning</t>
        </is>
      </c>
      <c r="D109" s="1" t="n">
        <v>46162</v>
      </c>
      <c r="E109" s="1" t="n">
        <v>46255</v>
      </c>
      <c r="F109" t="inlineStr">
        <is>
          <t>NORRBOTTENS LÄN</t>
        </is>
      </c>
      <c r="G109" t="inlineStr">
        <is>
          <t>ARJEPLOG</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29674-2025</t>
        </is>
      </c>
      <c r="B110" t="inlineStr">
        <is>
          <t>avverkningsanmälan</t>
        </is>
      </c>
      <c r="C110" t="inlineStr">
        <is>
          <t>Föryngringsavverkning</t>
        </is>
      </c>
      <c r="D110" s="1" t="n">
        <v>45825</v>
      </c>
      <c r="E110" s="1" t="n">
        <v>46255</v>
      </c>
      <c r="F110" t="inlineStr">
        <is>
          <t>NORRBOTTENS LÄN</t>
        </is>
      </c>
      <c r="G110" t="inlineStr">
        <is>
          <t>ARJEPLOG</t>
        </is>
      </c>
      <c r="H110" t="inlineStr">
        <is>
          <t>Allmännings- och besparingsskogar</t>
        </is>
      </c>
      <c r="I110" t="n">
        <v>25.1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23330-2026</t>
        </is>
      </c>
      <c r="B111" t="inlineStr">
        <is>
          <t>avverkningsanmälan</t>
        </is>
      </c>
      <c r="C111" t="inlineStr">
        <is>
          <t>Föryngringsavverkning</t>
        </is>
      </c>
      <c r="D111" s="1" t="n">
        <v>46162</v>
      </c>
      <c r="E111" s="1" t="n">
        <v>46255</v>
      </c>
      <c r="F111" t="inlineStr">
        <is>
          <t>NORRBOTTENS LÄN</t>
        </is>
      </c>
      <c r="G111" t="inlineStr">
        <is>
          <t>ARJEPLOG</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64816-2023</t>
        </is>
      </c>
      <c r="B112" t="inlineStr">
        <is>
          <t>avverkningsanmälan</t>
        </is>
      </c>
      <c r="C112" t="inlineStr">
        <is>
          <t>Föryngringsavverkning</t>
        </is>
      </c>
      <c r="D112" s="1" t="n">
        <v>45281</v>
      </c>
      <c r="E112" s="1" t="n">
        <v>46255</v>
      </c>
      <c r="F112" t="inlineStr">
        <is>
          <t>NORRBOTTENS LÄN</t>
        </is>
      </c>
      <c r="G112" t="inlineStr">
        <is>
          <t>ARJEPLOG</t>
        </is>
      </c>
      <c r="I112" t="n">
        <v>13.4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46910-2024</t>
        </is>
      </c>
      <c r="B113" t="inlineStr">
        <is>
          <t>avverkningsanmälan</t>
        </is>
      </c>
      <c r="C113" t="inlineStr">
        <is>
          <t>Föryngringsavverkning</t>
        </is>
      </c>
      <c r="D113" s="1" t="n">
        <v>45583</v>
      </c>
      <c r="E113" s="1" t="n">
        <v>46255</v>
      </c>
      <c r="F113" t="inlineStr">
        <is>
          <t>NORRBOTTENS LÄN</t>
        </is>
      </c>
      <c r="G113" t="inlineStr">
        <is>
          <t>ARJEPLOG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58370-2023</t>
        </is>
      </c>
      <c r="B114" t="inlineStr">
        <is>
          <t>avverkningsanmälan</t>
        </is>
      </c>
      <c r="C114" t="inlineStr">
        <is>
          <t>Avverkning för att bevara och utveckla /försöksver</t>
        </is>
      </c>
      <c r="D114" s="1" t="n">
        <v>45250</v>
      </c>
      <c r="E114" s="1" t="n">
        <v>46255</v>
      </c>
      <c r="F114" t="inlineStr">
        <is>
          <t>NORRBOTTENS LÄN</t>
        </is>
      </c>
      <c r="G114" t="inlineStr">
        <is>
          <t>ARJEPLOG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26479-2024</t>
        </is>
      </c>
      <c r="B115" t="inlineStr">
        <is>
          <t>avverkningsanmälan</t>
        </is>
      </c>
      <c r="C115" t="inlineStr">
        <is>
          <t>Föryngringsavverkning</t>
        </is>
      </c>
      <c r="D115" s="1" t="n">
        <v>45468</v>
      </c>
      <c r="E115" s="1" t="n">
        <v>46255</v>
      </c>
      <c r="F115" t="inlineStr">
        <is>
          <t>NORRBOTTENS LÄN</t>
        </is>
      </c>
      <c r="G115" t="inlineStr">
        <is>
          <t>ARJEPLOG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53822-2024</t>
        </is>
      </c>
      <c r="B116" t="inlineStr">
        <is>
          <t>avverkningsanmälan</t>
        </is>
      </c>
      <c r="C116" t="inlineStr">
        <is>
          <t>Föryngringsavverkning</t>
        </is>
      </c>
      <c r="D116" s="1" t="n">
        <v>45614</v>
      </c>
      <c r="E116" s="1" t="n">
        <v>46255</v>
      </c>
      <c r="F116" t="inlineStr">
        <is>
          <t>NORRBOTTENS LÄN</t>
        </is>
      </c>
      <c r="G116" t="inlineStr">
        <is>
          <t>ARJEPLOG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46255</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27102-2026</t>
        </is>
      </c>
      <c r="B118" t="inlineStr">
        <is>
          <t>avverkningsanmälan</t>
        </is>
      </c>
      <c r="C118" t="inlineStr">
        <is>
          <t>Avverkning för annat ändamål</t>
        </is>
      </c>
      <c r="D118" s="1" t="n">
        <v>46188</v>
      </c>
      <c r="E118" s="1" t="n">
        <v>46255</v>
      </c>
      <c r="F118" t="inlineStr">
        <is>
          <t>NORRBOTTENS LÄN</t>
        </is>
      </c>
      <c r="G118" t="inlineStr">
        <is>
          <t>ARJEPLOG</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55266-2024</t>
        </is>
      </c>
      <c r="B119" t="inlineStr">
        <is>
          <t>avverkningsanmälan</t>
        </is>
      </c>
      <c r="C119" t="inlineStr">
        <is>
          <t>Föryngringsavverkning</t>
        </is>
      </c>
      <c r="D119" s="1" t="n">
        <v>45621</v>
      </c>
      <c r="E119" s="1" t="n">
        <v>46255</v>
      </c>
      <c r="F119" t="inlineStr">
        <is>
          <t>NORRBOTTENS LÄN</t>
        </is>
      </c>
      <c r="G119" t="inlineStr">
        <is>
          <t>ARJEPLOG</t>
        </is>
      </c>
      <c r="I119" t="n">
        <v>11.3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20789-2022</t>
        </is>
      </c>
      <c r="B120" t="inlineStr">
        <is>
          <t>avverkningsanmälan</t>
        </is>
      </c>
      <c r="C120" t="inlineStr">
        <is>
          <t>Föryngringsavverkning</t>
        </is>
      </c>
      <c r="D120" s="1" t="n">
        <v>44701</v>
      </c>
      <c r="E120" s="1" t="n">
        <v>46255</v>
      </c>
      <c r="F120" t="inlineStr">
        <is>
          <t>NORRBOTTENS LÄN</t>
        </is>
      </c>
      <c r="G120" t="inlineStr">
        <is>
          <t>ARJEPLOG</t>
        </is>
      </c>
      <c r="I120" t="n">
        <v>20.3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26773-2022</t>
        </is>
      </c>
      <c r="B121" t="inlineStr">
        <is>
          <t>avverkningsanmälan</t>
        </is>
      </c>
      <c r="C121" t="inlineStr">
        <is>
          <t>Föryngringsavverkning</t>
        </is>
      </c>
      <c r="D121" s="1" t="n">
        <v>44732</v>
      </c>
      <c r="E121" s="1" t="n">
        <v>46255</v>
      </c>
      <c r="F121" t="inlineStr">
        <is>
          <t>NORRBOTTENS LÄN</t>
        </is>
      </c>
      <c r="G121" t="inlineStr">
        <is>
          <t>ARJEPLOG</t>
        </is>
      </c>
      <c r="H121" t="inlineStr">
        <is>
          <t>Övriga statliga verk och myndigheter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28787-2026</t>
        </is>
      </c>
      <c r="B122" t="inlineStr">
        <is>
          <t>avverkningsanmälan</t>
        </is>
      </c>
      <c r="C122" t="inlineStr">
        <is>
          <t>Föryngringsavverkning</t>
        </is>
      </c>
      <c r="D122" s="1" t="n">
        <v>46198</v>
      </c>
      <c r="E122" s="1" t="n">
        <v>46255</v>
      </c>
      <c r="F122" t="inlineStr">
        <is>
          <t>NORRBOTTENS LÄN</t>
        </is>
      </c>
      <c r="G122" t="inlineStr">
        <is>
          <t>ARJEPLOG</t>
        </is>
      </c>
      <c r="H122" t="inlineStr">
        <is>
          <t>Allmännings- och besparingsskogar</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28532-2026</t>
        </is>
      </c>
      <c r="B123" t="inlineStr">
        <is>
          <t>avverkningsanmälan</t>
        </is>
      </c>
      <c r="C123" t="inlineStr">
        <is>
          <t>Avverkning för annat ändamål</t>
        </is>
      </c>
      <c r="D123" s="1" t="n">
        <v>46197</v>
      </c>
      <c r="E123" s="1" t="n">
        <v>46255</v>
      </c>
      <c r="F123" t="inlineStr">
        <is>
          <t>NORRBOTTENS LÄN</t>
        </is>
      </c>
      <c r="G123" t="inlineStr">
        <is>
          <t>ARJEPLOG</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46255</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28679-2026</t>
        </is>
      </c>
      <c r="B125" t="inlineStr">
        <is>
          <t>avverkningsanmälan</t>
        </is>
      </c>
      <c r="C125" t="inlineStr">
        <is>
          <t>Föryngringsavverkning</t>
        </is>
      </c>
      <c r="D125" s="1" t="n">
        <v>46198</v>
      </c>
      <c r="E125" s="1" t="n">
        <v>46255</v>
      </c>
      <c r="F125" t="inlineStr">
        <is>
          <t>NORRBOTTENS LÄN</t>
        </is>
      </c>
      <c r="G125" t="inlineStr">
        <is>
          <t>ARJEPLOG</t>
        </is>
      </c>
      <c r="H125" t="inlineStr">
        <is>
          <t>Allmännings- och besparingsskogar</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28560-2026</t>
        </is>
      </c>
      <c r="B126" t="inlineStr">
        <is>
          <t>avverkningsanmälan</t>
        </is>
      </c>
      <c r="C126" t="inlineStr">
        <is>
          <t>Föryngringsavverkning</t>
        </is>
      </c>
      <c r="D126" s="1" t="n">
        <v>46197</v>
      </c>
      <c r="E126" s="1" t="n">
        <v>46255</v>
      </c>
      <c r="F126" t="inlineStr">
        <is>
          <t>NORRBOTTENS LÄN</t>
        </is>
      </c>
      <c r="G126" t="inlineStr">
        <is>
          <t>ARJEPLOG</t>
        </is>
      </c>
      <c r="H126" t="inlineStr">
        <is>
          <t>Allmännings- och besparingsskogar</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28799-2026</t>
        </is>
      </c>
      <c r="B127" t="inlineStr">
        <is>
          <t>avverkningsanmälan</t>
        </is>
      </c>
      <c r="C127" t="inlineStr">
        <is>
          <t>Föryngringsavverkning</t>
        </is>
      </c>
      <c r="D127" s="1" t="n">
        <v>46198</v>
      </c>
      <c r="E127" s="1" t="n">
        <v>46255</v>
      </c>
      <c r="F127" t="inlineStr">
        <is>
          <t>NORRBOTTENS LÄN</t>
        </is>
      </c>
      <c r="G127" t="inlineStr">
        <is>
          <t>ARJEPLOG</t>
        </is>
      </c>
      <c r="H127" t="inlineStr">
        <is>
          <t>Allmännings- och besparingsskogar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28804-2026</t>
        </is>
      </c>
      <c r="B128" t="inlineStr">
        <is>
          <t>avverkningsanmälan</t>
        </is>
      </c>
      <c r="C128" t="inlineStr">
        <is>
          <t>Föryngringsavverkning</t>
        </is>
      </c>
      <c r="D128" s="1" t="n">
        <v>46198</v>
      </c>
      <c r="E128" s="1" t="n">
        <v>46255</v>
      </c>
      <c r="F128" t="inlineStr">
        <is>
          <t>NORRBOTTENS LÄN</t>
        </is>
      </c>
      <c r="G128" t="inlineStr">
        <is>
          <t>ARJEPLOG</t>
        </is>
      </c>
      <c r="H128" t="inlineStr">
        <is>
          <t>Allmännings- och besparingsskogar</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27836-2026</t>
        </is>
      </c>
      <c r="B129" t="inlineStr">
        <is>
          <t>avverkningsanmälan</t>
        </is>
      </c>
      <c r="C129" t="inlineStr">
        <is>
          <t>Avverkning för annat ändamål</t>
        </is>
      </c>
      <c r="D129" s="1" t="n">
        <v>46189</v>
      </c>
      <c r="E129" s="1" t="n">
        <v>46255</v>
      </c>
      <c r="F129" t="inlineStr">
        <is>
          <t>NORRBOTTENS LÄN</t>
        </is>
      </c>
      <c r="G129" t="inlineStr">
        <is>
          <t>ARJEPLOG</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42274-2022</t>
        </is>
      </c>
      <c r="B130" t="inlineStr">
        <is>
          <t>avverkningsanmälan</t>
        </is>
      </c>
      <c r="C130" t="inlineStr">
        <is>
          <t>Föryngringsavverkning</t>
        </is>
      </c>
      <c r="D130" s="1" t="n">
        <v>44830</v>
      </c>
      <c r="E130" s="1" t="n">
        <v>46255</v>
      </c>
      <c r="F130" t="inlineStr">
        <is>
          <t>NORRBOTTENS LÄN</t>
        </is>
      </c>
      <c r="G130" t="inlineStr">
        <is>
          <t>ARJEPLOG</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390-2026</t>
        </is>
      </c>
      <c r="B131" t="inlineStr">
        <is>
          <t>avverkningsanmälan</t>
        </is>
      </c>
      <c r="C131" t="inlineStr">
        <is>
          <t>Föryngringsavverkning</t>
        </is>
      </c>
      <c r="D131" s="1" t="n">
        <v>46028</v>
      </c>
      <c r="E131" s="1" t="n">
        <v>46255</v>
      </c>
      <c r="F131" t="inlineStr">
        <is>
          <t>NORRBOTTENS LÄN</t>
        </is>
      </c>
      <c r="G131" t="inlineStr">
        <is>
          <t>ARJEPLOG</t>
        </is>
      </c>
      <c r="I131" t="n">
        <v>19.5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33993-2026</t>
        </is>
      </c>
      <c r="B132" t="inlineStr">
        <is>
          <t>avverkningsanmälan</t>
        </is>
      </c>
      <c r="C132" t="inlineStr">
        <is>
          <t>Avverkning för annat ändamål</t>
        </is>
      </c>
      <c r="D132" s="1" t="n">
        <v>46252</v>
      </c>
      <c r="E132" s="1" t="n">
        <v>46255</v>
      </c>
      <c r="F132" t="inlineStr">
        <is>
          <t>NORRBOTTENS LÄN</t>
        </is>
      </c>
      <c r="G132" t="inlineStr">
        <is>
          <t>ARJEPLOG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56276-2021</t>
        </is>
      </c>
      <c r="B133" t="inlineStr">
        <is>
          <t>avverkningsanmälan</t>
        </is>
      </c>
      <c r="C133" t="inlineStr">
        <is>
          <t>Avverkning för annat ändamål</t>
        </is>
      </c>
      <c r="D133" s="1" t="n">
        <v>44479</v>
      </c>
      <c r="E133" s="1" t="n">
        <v>46255</v>
      </c>
      <c r="F133" t="inlineStr">
        <is>
          <t>NORRBOTTENS LÄN</t>
        </is>
      </c>
      <c r="G133" t="inlineStr">
        <is>
          <t>ARJEPLOG</t>
        </is>
      </c>
      <c r="I133" t="n">
        <v>19.8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43045-2022</t>
        </is>
      </c>
      <c r="B134" t="inlineStr">
        <is>
          <t>avverkningsanmälan</t>
        </is>
      </c>
      <c r="C134" t="inlineStr">
        <is>
          <t>Föryngringsavverkning</t>
        </is>
      </c>
      <c r="D134" s="1" t="n">
        <v>44833</v>
      </c>
      <c r="E134" s="1" t="n">
        <v>46255</v>
      </c>
      <c r="F134" t="inlineStr">
        <is>
          <t>NORRBOTTENS LÄN</t>
        </is>
      </c>
      <c r="G134" t="inlineStr">
        <is>
          <t>ARJEPLOG</t>
        </is>
      </c>
      <c r="I134" t="n">
        <v>24.6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46255</v>
      </c>
      <c r="F135" t="inlineStr">
        <is>
          <t>NORRBOTTENS LÄN</t>
        </is>
      </c>
      <c r="G135" t="inlineStr">
        <is>
          <t>ARJEPLOG</t>
        </is>
      </c>
      <c r="I135" t="n">
        <v>23.2</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46255</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2026-08-21T01:53:15Z</dcterms:created>
  <dcterms:modified xmlns:dcterms="http://purl.org/dc/terms/" xmlns:xsi="http://www.w3.org/2001/XMLSchema-instance" xsi:type="dcterms:W3CDTF">2026-08-21T01:53:15Z</dcterms:modified>
</cp:coreProperties>
</file>