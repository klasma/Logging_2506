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46012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46012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46012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46012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46012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46012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46012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46012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46012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46012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46012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46012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46012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46012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46012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49079-2025</t>
        </is>
      </c>
      <c r="B17" s="1" t="n">
        <v>45937</v>
      </c>
      <c r="C17" s="1" t="n">
        <v>46012</v>
      </c>
      <c r="D17" t="inlineStr">
        <is>
          <t>NORRBOTTENS LÄN</t>
        </is>
      </c>
      <c r="E17" t="inlineStr">
        <is>
          <t>ARJEPLOG</t>
        </is>
      </c>
      <c r="F17" t="inlineStr">
        <is>
          <t>Sveaskog</t>
        </is>
      </c>
      <c r="G17" t="n">
        <v>24.7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Plattlummer
Spindelblomster
Mattlummer
Revlummer</t>
        </is>
      </c>
      <c r="S17">
        <f>HYPERLINK("https://klasma.github.io/Logging_2506/artfynd/A 49079-2025 artfynd.xlsx", "A 49079-2025")</f>
        <v/>
      </c>
      <c r="T17">
        <f>HYPERLINK("https://klasma.github.io/Logging_2506/kartor/A 49079-2025 karta.png", "A 49079-2025")</f>
        <v/>
      </c>
      <c r="V17">
        <f>HYPERLINK("https://klasma.github.io/Logging_2506/klagomål/A 49079-2025 FSC-klagomål.docx", "A 49079-2025")</f>
        <v/>
      </c>
      <c r="W17">
        <f>HYPERLINK("https://klasma.github.io/Logging_2506/klagomålsmail/A 49079-2025 FSC-klagomål mail.docx", "A 49079-2025")</f>
        <v/>
      </c>
      <c r="X17">
        <f>HYPERLINK("https://klasma.github.io/Logging_2506/tillsyn/A 49079-2025 tillsynsbegäran.docx", "A 49079-2025")</f>
        <v/>
      </c>
      <c r="Y17">
        <f>HYPERLINK("https://klasma.github.io/Logging_2506/tillsynsmail/A 49079-2025 tillsynsbegäran mail.docx", "A 49079-2025")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46012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26143-2024</t>
        </is>
      </c>
      <c r="B19" s="1" t="n">
        <v>45467</v>
      </c>
      <c r="C19" s="1" t="n">
        <v>46012</v>
      </c>
      <c r="D19" t="inlineStr">
        <is>
          <t>NORRBOTTENS LÄN</t>
        </is>
      </c>
      <c r="E19" t="inlineStr">
        <is>
          <t>ARJEPLOG</t>
        </is>
      </c>
      <c r="G19" t="n">
        <v>8.1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Blanksvart spiklav
Knottrig blåslav
Vedticka</t>
        </is>
      </c>
      <c r="S19">
        <f>HYPERLINK("https://klasma.github.io/Logging_2506/artfynd/A 26143-2024 artfynd.xlsx", "A 26143-2024")</f>
        <v/>
      </c>
      <c r="T19">
        <f>HYPERLINK("https://klasma.github.io/Logging_2506/kartor/A 26143-2024 karta.png", "A 26143-2024")</f>
        <v/>
      </c>
      <c r="V19">
        <f>HYPERLINK("https://klasma.github.io/Logging_2506/klagomål/A 26143-2024 FSC-klagomål.docx", "A 26143-2024")</f>
        <v/>
      </c>
      <c r="W19">
        <f>HYPERLINK("https://klasma.github.io/Logging_2506/klagomålsmail/A 26143-2024 FSC-klagomål mail.docx", "A 26143-2024")</f>
        <v/>
      </c>
      <c r="X19">
        <f>HYPERLINK("https://klasma.github.io/Logging_2506/tillsyn/A 26143-2024 tillsynsbegäran.docx", "A 26143-2024")</f>
        <v/>
      </c>
      <c r="Y19">
        <f>HYPERLINK("https://klasma.github.io/Logging_2506/tillsynsmail/A 26143-2024 tillsynsbegäran mail.docx", "A 26143-2024")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46012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46012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46012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46012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17549-2023</t>
        </is>
      </c>
      <c r="B24" s="1" t="n">
        <v>45034</v>
      </c>
      <c r="C24" s="1" t="n">
        <v>46012</v>
      </c>
      <c r="D24" t="inlineStr">
        <is>
          <t>NORRBOTTENS LÄN</t>
        </is>
      </c>
      <c r="E24" t="inlineStr">
        <is>
          <t>ARJEPLOG</t>
        </is>
      </c>
      <c r="G24" t="n">
        <v>18.8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Tretåig hackspett</t>
        </is>
      </c>
      <c r="S24">
        <f>HYPERLINK("https://klasma.github.io/Logging_2506/artfynd/A 17549-2023 artfynd.xlsx", "A 17549-2023")</f>
        <v/>
      </c>
      <c r="T24">
        <f>HYPERLINK("https://klasma.github.io/Logging_2506/kartor/A 17549-2023 karta.png", "A 17549-2023")</f>
        <v/>
      </c>
      <c r="V24">
        <f>HYPERLINK("https://klasma.github.io/Logging_2506/klagomål/A 17549-2023 FSC-klagomål.docx", "A 17549-2023")</f>
        <v/>
      </c>
      <c r="W24">
        <f>HYPERLINK("https://klasma.github.io/Logging_2506/klagomålsmail/A 17549-2023 FSC-klagomål mail.docx", "A 17549-2023")</f>
        <v/>
      </c>
      <c r="X24">
        <f>HYPERLINK("https://klasma.github.io/Logging_2506/tillsyn/A 17549-2023 tillsynsbegäran.docx", "A 17549-2023")</f>
        <v/>
      </c>
      <c r="Y24">
        <f>HYPERLINK("https://klasma.github.io/Logging_2506/tillsynsmail/A 17549-2023 tillsynsbegäran mail.docx", "A 17549-2023")</f>
        <v/>
      </c>
      <c r="Z24">
        <f>HYPERLINK("https://klasma.github.io/Logging_2506/fåglar/A 17549-2023 prioriterade fågelarter.docx", "A 17549-2023")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46012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46012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46012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46012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46012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30592-2023</t>
        </is>
      </c>
      <c r="B30" s="1" t="n">
        <v>45112</v>
      </c>
      <c r="C30" s="1" t="n">
        <v>46012</v>
      </c>
      <c r="D30" t="inlineStr">
        <is>
          <t>NORRBOTTENS LÄN</t>
        </is>
      </c>
      <c r="E30" t="inlineStr">
        <is>
          <t>ARJEPLOG</t>
        </is>
      </c>
      <c r="F30" t="inlineStr">
        <is>
          <t>Allmännings- och besparingsskogar</t>
        </is>
      </c>
      <c r="G30" t="n">
        <v>19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HYPERLINK("https://klasma.github.io/Logging_2506/artfynd/A 30592-2023 artfynd.xlsx", "A 30592-2023")</f>
        <v/>
      </c>
      <c r="T30">
        <f>HYPERLINK("https://klasma.github.io/Logging_2506/kartor/A 30592-2023 karta.png", "A 30592-2023")</f>
        <v/>
      </c>
      <c r="V30">
        <f>HYPERLINK("https://klasma.github.io/Logging_2506/klagomål/A 30592-2023 FSC-klagomål.docx", "A 30592-2023")</f>
        <v/>
      </c>
      <c r="W30">
        <f>HYPERLINK("https://klasma.github.io/Logging_2506/klagomålsmail/A 30592-2023 FSC-klagomål mail.docx", "A 30592-2023")</f>
        <v/>
      </c>
      <c r="X30">
        <f>HYPERLINK("https://klasma.github.io/Logging_2506/tillsyn/A 30592-2023 tillsynsbegäran.docx", "A 30592-2023")</f>
        <v/>
      </c>
      <c r="Y30">
        <f>HYPERLINK("https://klasma.github.io/Logging_2506/tillsynsmail/A 30592-2023 tillsynsbegäran mail.docx", "A 30592-2023")</f>
        <v/>
      </c>
      <c r="Z30">
        <f>HYPERLINK("https://klasma.github.io/Logging_2506/fåglar/A 30592-2023 prioriterade fågelarter.docx", "A 30592-2023")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46012</v>
      </c>
      <c r="D31" t="inlineStr">
        <is>
          <t>NORRBOTTENS LÄN</t>
        </is>
      </c>
      <c r="E31" t="inlineStr">
        <is>
          <t>ARJEPLOG</t>
        </is>
      </c>
      <c r="G31" t="n">
        <v>20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46012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46012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46012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66844-2021</t>
        </is>
      </c>
      <c r="B35" s="1" t="n">
        <v>44520</v>
      </c>
      <c r="C35" s="1" t="n">
        <v>46012</v>
      </c>
      <c r="D35" t="inlineStr">
        <is>
          <t>NORRBOTTENS LÄN</t>
        </is>
      </c>
      <c r="E35" t="inlineStr">
        <is>
          <t>ARJEPLOG</t>
        </is>
      </c>
      <c r="G35" t="n">
        <v>44.8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56274-2021</t>
        </is>
      </c>
      <c r="B36" s="1" t="n">
        <v>44479</v>
      </c>
      <c r="C36" s="1" t="n">
        <v>46012</v>
      </c>
      <c r="D36" t="inlineStr">
        <is>
          <t>NORRBOTTENS LÄN</t>
        </is>
      </c>
      <c r="E36" t="inlineStr">
        <is>
          <t>ARJEPLOG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56275-2021</t>
        </is>
      </c>
      <c r="B37" s="1" t="n">
        <v>44479</v>
      </c>
      <c r="C37" s="1" t="n">
        <v>46012</v>
      </c>
      <c r="D37" t="inlineStr">
        <is>
          <t>NORRBOTTENS LÄN</t>
        </is>
      </c>
      <c r="E37" t="inlineStr">
        <is>
          <t>ARJEPLOG</t>
        </is>
      </c>
      <c r="G37" t="n">
        <v>16.2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56277-2021</t>
        </is>
      </c>
      <c r="B38" s="1" t="n">
        <v>44479</v>
      </c>
      <c r="C38" s="1" t="n">
        <v>46012</v>
      </c>
      <c r="D38" t="inlineStr">
        <is>
          <t>NORRBOTTENS LÄN</t>
        </is>
      </c>
      <c r="E38" t="inlineStr">
        <is>
          <t>ARJEPLOG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46012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8721-2021</t>
        </is>
      </c>
      <c r="B40" s="1" t="n">
        <v>44246</v>
      </c>
      <c r="C40" s="1" t="n">
        <v>46012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44751-2022</t>
        </is>
      </c>
      <c r="B41" s="1" t="n">
        <v>44840</v>
      </c>
      <c r="C41" s="1" t="n">
        <v>46012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26.1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56278-2021</t>
        </is>
      </c>
      <c r="B42" s="1" t="n">
        <v>44479</v>
      </c>
      <c r="C42" s="1" t="n">
        <v>46012</v>
      </c>
      <c r="D42" t="inlineStr">
        <is>
          <t>NORRBOTTENS LÄN</t>
        </is>
      </c>
      <c r="E42" t="inlineStr">
        <is>
          <t>ARJEPLOG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52573-2022</t>
        </is>
      </c>
      <c r="B43" s="1" t="n">
        <v>44874</v>
      </c>
      <c r="C43" s="1" t="n">
        <v>46012</v>
      </c>
      <c r="D43" t="inlineStr">
        <is>
          <t>NORRBOTTENS LÄN</t>
        </is>
      </c>
      <c r="E43" t="inlineStr">
        <is>
          <t>ARJEPLOG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19620-2022</t>
        </is>
      </c>
      <c r="B44" s="1" t="n">
        <v>44694</v>
      </c>
      <c r="C44" s="1" t="n">
        <v>46012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72279-2021</t>
        </is>
      </c>
      <c r="B45" s="1" t="n">
        <v>44543</v>
      </c>
      <c r="C45" s="1" t="n">
        <v>46012</v>
      </c>
      <c r="D45" t="inlineStr">
        <is>
          <t>NORRBOTTENS LÄN</t>
        </is>
      </c>
      <c r="E45" t="inlineStr">
        <is>
          <t>ARJEPLOG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27092-2022</t>
        </is>
      </c>
      <c r="B46" s="1" t="n">
        <v>44741</v>
      </c>
      <c r="C46" s="1" t="n">
        <v>46012</v>
      </c>
      <c r="D46" t="inlineStr">
        <is>
          <t>NORRBOTTENS LÄN</t>
        </is>
      </c>
      <c r="E46" t="inlineStr">
        <is>
          <t>ARJEPLOG</t>
        </is>
      </c>
      <c r="G46" t="n">
        <v>15.6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46012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8727-2021</t>
        </is>
      </c>
      <c r="B48" s="1" t="n">
        <v>44246</v>
      </c>
      <c r="C48" s="1" t="n">
        <v>46012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46012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46012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46012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56785-2024</t>
        </is>
      </c>
      <c r="B52" s="1" t="n">
        <v>45625</v>
      </c>
      <c r="C52" s="1" t="n">
        <v>46012</v>
      </c>
      <c r="D52" t="inlineStr">
        <is>
          <t>NORRBOTTENS LÄN</t>
        </is>
      </c>
      <c r="E52" t="inlineStr">
        <is>
          <t>ARJEPLOG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46012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48376-2023</t>
        </is>
      </c>
      <c r="B54" s="1" t="n">
        <v>45205</v>
      </c>
      <c r="C54" s="1" t="n">
        <v>46012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Aktiebolag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26103-2024</t>
        </is>
      </c>
      <c r="B55" s="1" t="n">
        <v>45467</v>
      </c>
      <c r="C55" s="1" t="n">
        <v>46012</v>
      </c>
      <c r="D55" t="inlineStr">
        <is>
          <t>NORRBOTTENS LÄN</t>
        </is>
      </c>
      <c r="E55" t="inlineStr">
        <is>
          <t>ARJEPLOG</t>
        </is>
      </c>
      <c r="G55" t="n">
        <v>17.2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64826-2023</t>
        </is>
      </c>
      <c r="B56" s="1" t="n">
        <v>45281</v>
      </c>
      <c r="C56" s="1" t="n">
        <v>46012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38851-2025</t>
        </is>
      </c>
      <c r="B57" s="1" t="n">
        <v>45887.55271990741</v>
      </c>
      <c r="C57" s="1" t="n">
        <v>46012</v>
      </c>
      <c r="D57" t="inlineStr">
        <is>
          <t>NORRBOTTENS LÄN</t>
        </is>
      </c>
      <c r="E57" t="inlineStr">
        <is>
          <t>ARJEPLOG</t>
        </is>
      </c>
      <c r="G57" t="n">
        <v>15.2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46012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43045-2022</t>
        </is>
      </c>
      <c r="B59" s="1" t="n">
        <v>44833</v>
      </c>
      <c r="C59" s="1" t="n">
        <v>46012</v>
      </c>
      <c r="D59" t="inlineStr">
        <is>
          <t>NORRBOTTENS LÄN</t>
        </is>
      </c>
      <c r="E59" t="inlineStr">
        <is>
          <t>ARJEPLOG</t>
        </is>
      </c>
      <c r="G59" t="n">
        <v>24.6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46012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46012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46012</v>
      </c>
      <c r="D62" t="inlineStr">
        <is>
          <t>NORRBOTTENS LÄN</t>
        </is>
      </c>
      <c r="E62" t="inlineStr">
        <is>
          <t>ARJEPLOG</t>
        </is>
      </c>
      <c r="G62" t="n">
        <v>23.2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36623-2023</t>
        </is>
      </c>
      <c r="B63" s="1" t="n">
        <v>45153</v>
      </c>
      <c r="C63" s="1" t="n">
        <v>46012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16.9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35627-2025</t>
        </is>
      </c>
      <c r="B64" s="1" t="n">
        <v>45859</v>
      </c>
      <c r="C64" s="1" t="n">
        <v>46012</v>
      </c>
      <c r="D64" t="inlineStr">
        <is>
          <t>NORRBOTTENS LÄN</t>
        </is>
      </c>
      <c r="E64" t="inlineStr">
        <is>
          <t>ARJEPLOG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73880-2021</t>
        </is>
      </c>
      <c r="B65" s="1" t="n">
        <v>44552</v>
      </c>
      <c r="C65" s="1" t="n">
        <v>46012</v>
      </c>
      <c r="D65" t="inlineStr">
        <is>
          <t>NORRBOTTENS LÄN</t>
        </is>
      </c>
      <c r="E65" t="inlineStr">
        <is>
          <t>ARJEPLOG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58989-2024</t>
        </is>
      </c>
      <c r="B66" s="1" t="n">
        <v>45636</v>
      </c>
      <c r="C66" s="1" t="n">
        <v>46012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46012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46012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46012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46012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29667-2025</t>
        </is>
      </c>
      <c r="B71" s="1" t="n">
        <v>45825</v>
      </c>
      <c r="C71" s="1" t="n">
        <v>46012</v>
      </c>
      <c r="D71" t="inlineStr">
        <is>
          <t>NORRBOTTENS LÄN</t>
        </is>
      </c>
      <c r="E71" t="inlineStr">
        <is>
          <t>ARJEPLOG</t>
        </is>
      </c>
      <c r="F71" t="inlineStr">
        <is>
          <t>Allmännings- och besparingsskogar</t>
        </is>
      </c>
      <c r="G71" t="n">
        <v>20.1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46012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23949-2024</t>
        </is>
      </c>
      <c r="B73" s="1" t="n">
        <v>45455</v>
      </c>
      <c r="C73" s="1" t="n">
        <v>46012</v>
      </c>
      <c r="D73" t="inlineStr">
        <is>
          <t>NORRBOTTENS LÄN</t>
        </is>
      </c>
      <c r="E73" t="inlineStr">
        <is>
          <t>ARJEPLOG</t>
        </is>
      </c>
      <c r="F73" t="inlineStr">
        <is>
          <t>SCA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31104-2025</t>
        </is>
      </c>
      <c r="B74" s="1" t="n">
        <v>45832.60090277778</v>
      </c>
      <c r="C74" s="1" t="n">
        <v>46012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46012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46012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48940-2023</t>
        </is>
      </c>
      <c r="B77" s="1" t="n">
        <v>45205</v>
      </c>
      <c r="C77" s="1" t="n">
        <v>46012</v>
      </c>
      <c r="D77" t="inlineStr">
        <is>
          <t>NORRBOTTENS LÄN</t>
        </is>
      </c>
      <c r="E77" t="inlineStr">
        <is>
          <t>ARJEPLOG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46012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25559-2022</t>
        </is>
      </c>
      <c r="B79" s="1" t="n">
        <v>44732</v>
      </c>
      <c r="C79" s="1" t="n">
        <v>46012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46012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46012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30606-2025</t>
        </is>
      </c>
      <c r="B82" s="1" t="n">
        <v>45831</v>
      </c>
      <c r="C82" s="1" t="n">
        <v>46012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70.40000000000001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30617-2025</t>
        </is>
      </c>
      <c r="B83" s="1" t="n">
        <v>45831</v>
      </c>
      <c r="C83" s="1" t="n">
        <v>46012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39.8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29662-2025</t>
        </is>
      </c>
      <c r="B84" s="1" t="n">
        <v>45825</v>
      </c>
      <c r="C84" s="1" t="n">
        <v>46012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29674-2025</t>
        </is>
      </c>
      <c r="B85" s="1" t="n">
        <v>45825</v>
      </c>
      <c r="C85" s="1" t="n">
        <v>46012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55570-2025</t>
        </is>
      </c>
      <c r="B86" s="1" t="n">
        <v>45971.65667824074</v>
      </c>
      <c r="C86" s="1" t="n">
        <v>46012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46012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53822-2024</t>
        </is>
      </c>
      <c r="B88" s="1" t="n">
        <v>45614</v>
      </c>
      <c r="C88" s="1" t="n">
        <v>46012</v>
      </c>
      <c r="D88" t="inlineStr">
        <is>
          <t>NORRBOTTENS LÄN</t>
        </is>
      </c>
      <c r="E88" t="inlineStr">
        <is>
          <t>ARJEPLOG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46012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36779-2025</t>
        </is>
      </c>
      <c r="B90" s="1" t="n">
        <v>45873</v>
      </c>
      <c r="C90" s="1" t="n">
        <v>46012</v>
      </c>
      <c r="D90" t="inlineStr">
        <is>
          <t>NORRBOTTENS LÄN</t>
        </is>
      </c>
      <c r="E90" t="inlineStr">
        <is>
          <t>ARJEPLOG</t>
        </is>
      </c>
      <c r="G90" t="n">
        <v>17.2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37442-2025</t>
        </is>
      </c>
      <c r="B91" s="1" t="n">
        <v>45877.54096064815</v>
      </c>
      <c r="C91" s="1" t="n">
        <v>46012</v>
      </c>
      <c r="D91" t="inlineStr">
        <is>
          <t>NORRBOTTENS LÄN</t>
        </is>
      </c>
      <c r="E91" t="inlineStr">
        <is>
          <t>ARJEPLOG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48987-2025</t>
        </is>
      </c>
      <c r="B92" s="1" t="n">
        <v>45937.5759837963</v>
      </c>
      <c r="C92" s="1" t="n">
        <v>46012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48992-2025</t>
        </is>
      </c>
      <c r="B93" s="1" t="n">
        <v>45937.58351851852</v>
      </c>
      <c r="C93" s="1" t="n">
        <v>46012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10825-2025</t>
        </is>
      </c>
      <c r="B94" s="1" t="n">
        <v>45722</v>
      </c>
      <c r="C94" s="1" t="n">
        <v>46012</v>
      </c>
      <c r="D94" t="inlineStr">
        <is>
          <t>NORRBOTTENS LÄN</t>
        </is>
      </c>
      <c r="E94" t="inlineStr">
        <is>
          <t>ARJEPLOG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61729-2024</t>
        </is>
      </c>
      <c r="B95" s="1" t="n">
        <v>45649</v>
      </c>
      <c r="C95" s="1" t="n">
        <v>46012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29649-2024</t>
        </is>
      </c>
      <c r="B96" s="1" t="n">
        <v>45484</v>
      </c>
      <c r="C96" s="1" t="n">
        <v>46012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45072-2023</t>
        </is>
      </c>
      <c r="B97" s="1" t="n">
        <v>45187</v>
      </c>
      <c r="C97" s="1" t="n">
        <v>46012</v>
      </c>
      <c r="D97" t="inlineStr">
        <is>
          <t>NORRBOTTENS LÄN</t>
        </is>
      </c>
      <c r="E97" t="inlineStr">
        <is>
          <t>ARJEPLOG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25270-2023</t>
        </is>
      </c>
      <c r="B98" s="1" t="n">
        <v>45079</v>
      </c>
      <c r="C98" s="1" t="n">
        <v>46012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59887-2025</t>
        </is>
      </c>
      <c r="B99" s="1" t="n">
        <v>45993.32416666667</v>
      </c>
      <c r="C99" s="1" t="n">
        <v>46012</v>
      </c>
      <c r="D99" t="inlineStr">
        <is>
          <t>NORRBOTTENS LÄN</t>
        </is>
      </c>
      <c r="E99" t="inlineStr">
        <is>
          <t>ARJEPLOG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25239-2023</t>
        </is>
      </c>
      <c r="B100" s="1" t="n">
        <v>45079</v>
      </c>
      <c r="C100" s="1" t="n">
        <v>46012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52581-2022</t>
        </is>
      </c>
      <c r="B101" s="1" t="n">
        <v>44874</v>
      </c>
      <c r="C101" s="1" t="n">
        <v>46012</v>
      </c>
      <c r="D101" t="inlineStr">
        <is>
          <t>NORRBOTTENS LÄN</t>
        </is>
      </c>
      <c r="E101" t="inlineStr">
        <is>
          <t>ARJEPLOG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53246-2025</t>
        </is>
      </c>
      <c r="B102" s="1" t="n">
        <v>45958.64807870371</v>
      </c>
      <c r="C102" s="1" t="n">
        <v>46012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36.7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54589-2021</t>
        </is>
      </c>
      <c r="B103" s="1" t="n">
        <v>44473</v>
      </c>
      <c r="C103" s="1" t="n">
        <v>46012</v>
      </c>
      <c r="D103" t="inlineStr">
        <is>
          <t>NORRBOTTENS LÄN</t>
        </is>
      </c>
      <c r="E103" t="inlineStr">
        <is>
          <t>ARJEPLOG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60766-2025</t>
        </is>
      </c>
      <c r="B104" s="1" t="n">
        <v>45999.38688657407</v>
      </c>
      <c r="C104" s="1" t="n">
        <v>46012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60767-2025</t>
        </is>
      </c>
      <c r="B105" s="1" t="n">
        <v>45999.3869212963</v>
      </c>
      <c r="C105" s="1" t="n">
        <v>46012</v>
      </c>
      <c r="D105" t="inlineStr">
        <is>
          <t>NORRBOTTENS LÄN</t>
        </is>
      </c>
      <c r="E105" t="inlineStr">
        <is>
          <t>ARJEPLOG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46012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3006-2024</t>
        </is>
      </c>
      <c r="B107" s="1" t="n">
        <v>45315</v>
      </c>
      <c r="C107" s="1" t="n">
        <v>46012</v>
      </c>
      <c r="D107" t="inlineStr">
        <is>
          <t>NORRBOTTENS LÄN</t>
        </is>
      </c>
      <c r="E107" t="inlineStr">
        <is>
          <t>ARJEPLOG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4413-2025</t>
        </is>
      </c>
      <c r="B108" s="1" t="n">
        <v>45686</v>
      </c>
      <c r="C108" s="1" t="n">
        <v>46012</v>
      </c>
      <c r="D108" t="inlineStr">
        <is>
          <t>NORRBOTTENS LÄN</t>
        </is>
      </c>
      <c r="E108" t="inlineStr">
        <is>
          <t>ARJEPLOG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34670-2025</t>
        </is>
      </c>
      <c r="B109" s="1" t="n">
        <v>45847</v>
      </c>
      <c r="C109" s="1" t="n">
        <v>46012</v>
      </c>
      <c r="D109" t="inlineStr">
        <is>
          <t>NORRBOTTENS LÄN</t>
        </is>
      </c>
      <c r="E109" t="inlineStr">
        <is>
          <t>ARJEPLOG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25440-2024</t>
        </is>
      </c>
      <c r="B110" s="1" t="n">
        <v>45463</v>
      </c>
      <c r="C110" s="1" t="n">
        <v>46012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26470-2024</t>
        </is>
      </c>
      <c r="B111" s="1" t="n">
        <v>45468</v>
      </c>
      <c r="C111" s="1" t="n">
        <v>46012</v>
      </c>
      <c r="D111" t="inlineStr">
        <is>
          <t>NORRBOTTENS LÄN</t>
        </is>
      </c>
      <c r="E111" t="inlineStr">
        <is>
          <t>ARJEPLOG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14375-2021</t>
        </is>
      </c>
      <c r="B112" s="1" t="n">
        <v>44279</v>
      </c>
      <c r="C112" s="1" t="n">
        <v>46012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60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56754-2024</t>
        </is>
      </c>
      <c r="B113" s="1" t="n">
        <v>45625</v>
      </c>
      <c r="C113" s="1" t="n">
        <v>46012</v>
      </c>
      <c r="D113" t="inlineStr">
        <is>
          <t>NORRBOTTENS LÄN</t>
        </is>
      </c>
      <c r="E113" t="inlineStr">
        <is>
          <t>ARJEPLOG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56800-2024</t>
        </is>
      </c>
      <c r="B114" s="1" t="n">
        <v>45625</v>
      </c>
      <c r="C114" s="1" t="n">
        <v>46012</v>
      </c>
      <c r="D114" t="inlineStr">
        <is>
          <t>NORRBOTTENS LÄN</t>
        </is>
      </c>
      <c r="E114" t="inlineStr">
        <is>
          <t>ARJEPLOG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56782-2024</t>
        </is>
      </c>
      <c r="B115" s="1" t="n">
        <v>45625</v>
      </c>
      <c r="C115" s="1" t="n">
        <v>46012</v>
      </c>
      <c r="D115" t="inlineStr">
        <is>
          <t>NORRBOTTENS LÄN</t>
        </is>
      </c>
      <c r="E115" t="inlineStr">
        <is>
          <t>ARJEPLOG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56794-2024</t>
        </is>
      </c>
      <c r="B116" s="1" t="n">
        <v>45625</v>
      </c>
      <c r="C116" s="1" t="n">
        <v>46012</v>
      </c>
      <c r="D116" t="inlineStr">
        <is>
          <t>NORRBOTTENS LÄN</t>
        </is>
      </c>
      <c r="E116" t="inlineStr">
        <is>
          <t>ARJEPLOG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25928-2024</t>
        </is>
      </c>
      <c r="B117" s="1" t="n">
        <v>45467</v>
      </c>
      <c r="C117" s="1" t="n">
        <v>46012</v>
      </c>
      <c r="D117" t="inlineStr">
        <is>
          <t>NORRBOTTENS LÄN</t>
        </is>
      </c>
      <c r="E117" t="inlineStr">
        <is>
          <t>ARJEPLOG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46012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12409-2025</t>
        </is>
      </c>
      <c r="B119" s="1" t="n">
        <v>45730.43366898148</v>
      </c>
      <c r="C119" s="1" t="n">
        <v>46012</v>
      </c>
      <c r="D119" t="inlineStr">
        <is>
          <t>NORRBOTTENS LÄN</t>
        </is>
      </c>
      <c r="E119" t="inlineStr">
        <is>
          <t>ARJEPLOG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46012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44218-2023</t>
        </is>
      </c>
      <c r="B121" s="1" t="n">
        <v>45183</v>
      </c>
      <c r="C121" s="1" t="n">
        <v>46012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64837-2023</t>
        </is>
      </c>
      <c r="B122" s="1" t="n">
        <v>45281</v>
      </c>
      <c r="C122" s="1" t="n">
        <v>46012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64840-2023</t>
        </is>
      </c>
      <c r="B123" s="1" t="n">
        <v>45281</v>
      </c>
      <c r="C123" s="1" t="n">
        <v>46012</v>
      </c>
      <c r="D123" t="inlineStr">
        <is>
          <t>NORRBOTTENS LÄN</t>
        </is>
      </c>
      <c r="E123" t="inlineStr">
        <is>
          <t>ARJEPLOG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64816-2023</t>
        </is>
      </c>
      <c r="B124" s="1" t="n">
        <v>45281</v>
      </c>
      <c r="C124" s="1" t="n">
        <v>46012</v>
      </c>
      <c r="D124" t="inlineStr">
        <is>
          <t>NORRBOTTENS LÄN</t>
        </is>
      </c>
      <c r="E124" t="inlineStr">
        <is>
          <t>ARJEPLOG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26479-2024</t>
        </is>
      </c>
      <c r="B125" s="1" t="n">
        <v>45468</v>
      </c>
      <c r="C125" s="1" t="n">
        <v>46012</v>
      </c>
      <c r="D125" t="inlineStr">
        <is>
          <t>NORRBOTTENS LÄN</t>
        </is>
      </c>
      <c r="E125" t="inlineStr">
        <is>
          <t>ARJEPLOG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64809-2023</t>
        </is>
      </c>
      <c r="B126" s="1" t="n">
        <v>45281</v>
      </c>
      <c r="C126" s="1" t="n">
        <v>46012</v>
      </c>
      <c r="D126" t="inlineStr">
        <is>
          <t>NORRBOTTENS LÄN</t>
        </is>
      </c>
      <c r="E126" t="inlineStr">
        <is>
          <t>ARJEPLOG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46910-2024</t>
        </is>
      </c>
      <c r="B127" s="1" t="n">
        <v>45583</v>
      </c>
      <c r="C127" s="1" t="n">
        <v>46012</v>
      </c>
      <c r="D127" t="inlineStr">
        <is>
          <t>NORRBOTTENS LÄN</t>
        </is>
      </c>
      <c r="E127" t="inlineStr">
        <is>
          <t>ARJEPLOG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30870-2023</t>
        </is>
      </c>
      <c r="B128" s="1" t="n">
        <v>45113</v>
      </c>
      <c r="C128" s="1" t="n">
        <v>46012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64822-2023</t>
        </is>
      </c>
      <c r="B129" s="1" t="n">
        <v>45281</v>
      </c>
      <c r="C129" s="1" t="n">
        <v>46012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58370-2023</t>
        </is>
      </c>
      <c r="B130" s="1" t="n">
        <v>45250</v>
      </c>
      <c r="C130" s="1" t="n">
        <v>46012</v>
      </c>
      <c r="D130" t="inlineStr">
        <is>
          <t>NORRBOTTENS LÄN</t>
        </is>
      </c>
      <c r="E130" t="inlineStr">
        <is>
          <t>ARJEPLOG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26472-2024</t>
        </is>
      </c>
      <c r="B131" s="1" t="n">
        <v>45469</v>
      </c>
      <c r="C131" s="1" t="n">
        <v>46012</v>
      </c>
      <c r="D131" t="inlineStr">
        <is>
          <t>NORRBOTTENS LÄN</t>
        </is>
      </c>
      <c r="E131" t="inlineStr">
        <is>
          <t>ARJEPLOG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26486-2024</t>
        </is>
      </c>
      <c r="B132" s="1" t="n">
        <v>45469</v>
      </c>
      <c r="C132" s="1" t="n">
        <v>46012</v>
      </c>
      <c r="D132" t="inlineStr">
        <is>
          <t>NORRBOTTENS LÄN</t>
        </is>
      </c>
      <c r="E132" t="inlineStr">
        <is>
          <t>ARJEPLOG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55266-2024</t>
        </is>
      </c>
      <c r="B133" s="1" t="n">
        <v>45621</v>
      </c>
      <c r="C133" s="1" t="n">
        <v>46012</v>
      </c>
      <c r="D133" t="inlineStr">
        <is>
          <t>NORRBOTTENS LÄN</t>
        </is>
      </c>
      <c r="E133" t="inlineStr">
        <is>
          <t>ARJEPLOG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20789-2022</t>
        </is>
      </c>
      <c r="B134" s="1" t="n">
        <v>44701</v>
      </c>
      <c r="C134" s="1" t="n">
        <v>46012</v>
      </c>
      <c r="D134" t="inlineStr">
        <is>
          <t>NORRBOTTENS LÄN</t>
        </is>
      </c>
      <c r="E134" t="inlineStr">
        <is>
          <t>ARJEPLOG</t>
        </is>
      </c>
      <c r="G134" t="n">
        <v>20.3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46012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62801-2023</t>
        </is>
      </c>
      <c r="B136" s="1" t="n">
        <v>45268</v>
      </c>
      <c r="C136" s="1" t="n">
        <v>46012</v>
      </c>
      <c r="D136" t="inlineStr">
        <is>
          <t>NORRBOTTENS LÄN</t>
        </is>
      </c>
      <c r="E136" t="inlineStr">
        <is>
          <t>ARJEPLOG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41061-2024</t>
        </is>
      </c>
      <c r="B137" s="1" t="n">
        <v>45558</v>
      </c>
      <c r="C137" s="1" t="n">
        <v>46012</v>
      </c>
      <c r="D137" t="inlineStr">
        <is>
          <t>NORRBOTTENS LÄN</t>
        </is>
      </c>
      <c r="E137" t="inlineStr">
        <is>
          <t>ARJEPLOG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46012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12447-2025</t>
        </is>
      </c>
      <c r="B139" s="1" t="n">
        <v>45730.48715277778</v>
      </c>
      <c r="C139" s="1" t="n">
        <v>46012</v>
      </c>
      <c r="D139" t="inlineStr">
        <is>
          <t>NORRBOTTENS LÄN</t>
        </is>
      </c>
      <c r="E139" t="inlineStr">
        <is>
          <t>ARJEPLOG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56276-2021</t>
        </is>
      </c>
      <c r="B140" s="1" t="n">
        <v>44479</v>
      </c>
      <c r="C140" s="1" t="n">
        <v>46012</v>
      </c>
      <c r="D140" t="inlineStr">
        <is>
          <t>NORRBOTTENS LÄN</t>
        </is>
      </c>
      <c r="E140" t="inlineStr">
        <is>
          <t>ARJEPLOG</t>
        </is>
      </c>
      <c r="G140" t="n">
        <v>19.8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20905-2025</t>
        </is>
      </c>
      <c r="B141" s="1" t="n">
        <v>45777.40407407407</v>
      </c>
      <c r="C141" s="1" t="n">
        <v>46012</v>
      </c>
      <c r="D141" t="inlineStr">
        <is>
          <t>NORRBOTTENS LÄN</t>
        </is>
      </c>
      <c r="E141" t="inlineStr">
        <is>
          <t>ARJEPLOG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13119-2025</t>
        </is>
      </c>
      <c r="B142" s="1" t="n">
        <v>45734</v>
      </c>
      <c r="C142" s="1" t="n">
        <v>46012</v>
      </c>
      <c r="D142" t="inlineStr">
        <is>
          <t>NORRBOTTENS LÄN</t>
        </is>
      </c>
      <c r="E142" t="inlineStr">
        <is>
          <t>ARJEPLOG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2025-12-21T10:38:54Z</dcterms:created>
  <dcterms:modified xmlns:dcterms="http://purl.org/dc/terms/" xmlns:xsi="http://www.w3.org/2001/XMLSchema-instance" xsi:type="dcterms:W3CDTF">2025-12-21T10:38:54Z</dcterms:modified>
</cp:coreProperties>
</file>