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46317</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46317</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46317</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46317</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46317</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46317</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46317</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46317</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46317</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46317</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46317</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46317</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46317</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46317</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46317</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46317</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46317</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46317</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46317</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46317</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46317</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1479-2026</t>
        </is>
      </c>
      <c r="B23" t="inlineStr">
        <is>
          <t>avverkningsanmälan</t>
        </is>
      </c>
      <c r="C23" t="inlineStr">
        <is>
          <t>Föryngringsavverkning</t>
        </is>
      </c>
      <c r="D23" s="1" t="n">
        <v>46033</v>
      </c>
      <c r="E23" s="1" t="n">
        <v>46317</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46317</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46317</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46317</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46317</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46317</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46317</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46317</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46317</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46317</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46317</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12403-2025</t>
        </is>
      </c>
      <c r="B34" t="inlineStr">
        <is>
          <t>avverkningsanmälan</t>
        </is>
      </c>
      <c r="C34" t="inlineStr">
        <is>
          <t>Föryngringsavverkning</t>
        </is>
      </c>
      <c r="D34" s="1" t="n">
        <v>45730</v>
      </c>
      <c r="E34" s="1" t="n">
        <v>46317</v>
      </c>
      <c r="F34" t="inlineStr">
        <is>
          <t>NORRBOTTENS LÄN</t>
        </is>
      </c>
      <c r="G34" t="inlineStr">
        <is>
          <t>ARJEPLOG</t>
        </is>
      </c>
      <c r="I34" t="n">
        <v>10.1</v>
      </c>
      <c r="J34" t="n">
        <v>1</v>
      </c>
      <c r="K34" t="n">
        <v>0</v>
      </c>
      <c r="L34" t="n">
        <v>3</v>
      </c>
      <c r="M34" t="n">
        <v>1</v>
      </c>
      <c r="N34" t="n">
        <v>0</v>
      </c>
      <c r="O34" t="n">
        <v>0</v>
      </c>
      <c r="P34" t="n">
        <v>0</v>
      </c>
      <c r="Q34" t="n">
        <v>4</v>
      </c>
      <c r="R34" t="n">
        <v>1</v>
      </c>
      <c r="S34" t="n">
        <v>4</v>
      </c>
      <c r="T34" t="n">
        <v>9</v>
      </c>
      <c r="U34" t="n">
        <v>9</v>
      </c>
      <c r="V34" s="2" t="inlineStr">
        <is>
          <t>Garnlav
Harticka
Tretåig hackspett
Vedskivlav</t>
        </is>
      </c>
      <c r="W34">
        <f>HYPERLINK("https://klasma.github.io/Logging_2506/artfynd/A 12403-2025 artfynd.xlsx", "A 12403-2025")</f>
        <v/>
      </c>
      <c r="X34">
        <f>HYPERLINK("https://klasma.github.io/Logging_2506/kartor/A 12403-2025 karta.png", "A 12403-2025")</f>
        <v/>
      </c>
      <c r="Y34">
        <f>HYPERLINK("https://klasma.github.io/Logging_2506/kartor_geotiff/A 12403-2025 georefererad karta.tif", "A 12403-2025")</f>
        <v/>
      </c>
      <c r="AA34">
        <f>HYPERLINK("https://klasma.github.io/Logging_2506/klagomål/A 12403-2025 FSC-klagomål.docx", "A 12403-2025")</f>
        <v/>
      </c>
      <c r="AB34">
        <f>HYPERLINK("https://klasma.github.io/Logging_2506/klagomålsmail/A 12403-2025 FSC-klagomål mail.docx", "A 12403-2025")</f>
        <v/>
      </c>
      <c r="AC34">
        <f>HYPERLINK("https://klasma.github.io/Logging_2506/tillsyn/A 12403-2025 tillsynsbegäran.docx", "A 12403-2025")</f>
        <v/>
      </c>
      <c r="AD34">
        <f>HYPERLINK("https://klasma.github.io/Logging_2506/tillsynsmail/A 12403-2025 tillsynsbegäran mail.docx", "A 12403-2025")</f>
        <v/>
      </c>
      <c r="AE34">
        <f>HYPERLINK("https://klasma.github.io/Logging_2506/fåglar/A 12403-2025 prioriterade fågelarter.docx", "A 12403-2025")</f>
        <v/>
      </c>
    </row>
    <row r="35" ht="15" customHeight="1">
      <c r="A35" t="inlineStr">
        <is>
          <t>A 64803-2023</t>
        </is>
      </c>
      <c r="B35" t="inlineStr">
        <is>
          <t>avverkningsanmälan</t>
        </is>
      </c>
      <c r="C35" t="inlineStr">
        <is>
          <t>Föryngringsavverkning</t>
        </is>
      </c>
      <c r="D35" s="1" t="n">
        <v>45281</v>
      </c>
      <c r="E35" s="1" t="n">
        <v>46317</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26143-2024</t>
        </is>
      </c>
      <c r="B36" t="inlineStr">
        <is>
          <t>avverkningsanmälan</t>
        </is>
      </c>
      <c r="C36" t="inlineStr">
        <is>
          <t>Föryngringsavverkning</t>
        </is>
      </c>
      <c r="D36" s="1" t="n">
        <v>45467</v>
      </c>
      <c r="E36" s="1" t="n">
        <v>46317</v>
      </c>
      <c r="F36" t="inlineStr">
        <is>
          <t>NORRBOTTENS LÄN</t>
        </is>
      </c>
      <c r="G36" t="inlineStr">
        <is>
          <t>ARJEPLOG</t>
        </is>
      </c>
      <c r="I36" t="n">
        <v>8.1</v>
      </c>
      <c r="J36" t="n">
        <v>0</v>
      </c>
      <c r="K36" t="n">
        <v>1</v>
      </c>
      <c r="L36" t="n">
        <v>2</v>
      </c>
      <c r="M36" t="n">
        <v>0</v>
      </c>
      <c r="N36" t="n">
        <v>0</v>
      </c>
      <c r="O36" t="n">
        <v>0</v>
      </c>
      <c r="P36" t="n">
        <v>0</v>
      </c>
      <c r="Q36" t="n">
        <v>2</v>
      </c>
      <c r="R36" t="n">
        <v>0</v>
      </c>
      <c r="S36" t="n">
        <v>3</v>
      </c>
      <c r="T36" t="n">
        <v>3</v>
      </c>
      <c r="U36" t="n">
        <v>3</v>
      </c>
      <c r="V36" s="2" t="inlineStr">
        <is>
          <t>Blanksvart spiklav
Knottrig blåslav
Vedticka</t>
        </is>
      </c>
      <c r="W36">
        <f>HYPERLINK("https://klasma.github.io/Logging_2506/artfynd/A 26143-2024 artfynd.xlsx", "A 26143-2024")</f>
        <v/>
      </c>
      <c r="X36">
        <f>HYPERLINK("https://klasma.github.io/Logging_2506/kartor/A 26143-2024 karta.png", "A 26143-2024")</f>
        <v/>
      </c>
      <c r="Y36">
        <f>HYPERLINK("https://klasma.github.io/Logging_2506/kartor_geotiff/A 26143-2024 georefererad karta.tif", "A 26143-2024")</f>
        <v/>
      </c>
      <c r="AA36">
        <f>HYPERLINK("https://klasma.github.io/Logging_2506/klagomål/A 26143-2024 FSC-klagomål.docx", "A 26143-2024")</f>
        <v/>
      </c>
      <c r="AB36">
        <f>HYPERLINK("https://klasma.github.io/Logging_2506/klagomålsmail/A 26143-2024 FSC-klagomål mail.docx", "A 26143-2024")</f>
        <v/>
      </c>
      <c r="AC36">
        <f>HYPERLINK("https://klasma.github.io/Logging_2506/tillsyn/A 26143-2024 tillsynsbegäran.docx", "A 26143-2024")</f>
        <v/>
      </c>
      <c r="AD36">
        <f>HYPERLINK("https://klasma.github.io/Logging_2506/tillsynsmail/A 26143-2024 tillsynsbegäran mail.docx", "A 26143-2024")</f>
        <v/>
      </c>
    </row>
    <row r="37" ht="15" customHeight="1">
      <c r="A37" t="inlineStr">
        <is>
          <t>A 15171-2022</t>
        </is>
      </c>
      <c r="B37" t="inlineStr">
        <is>
          <t>avverkningsanmälan</t>
        </is>
      </c>
      <c r="C37" t="inlineStr">
        <is>
          <t>Föryngringsavverkning</t>
        </is>
      </c>
      <c r="D37" s="1" t="n">
        <v>44658</v>
      </c>
      <c r="E37" s="1" t="n">
        <v>46317</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10525-2024</t>
        </is>
      </c>
      <c r="B38" t="inlineStr">
        <is>
          <t>avverkningsanmälan</t>
        </is>
      </c>
      <c r="C38" t="inlineStr">
        <is>
          <t>Föryngringsavverkning</t>
        </is>
      </c>
      <c r="D38" s="1" t="n">
        <v>45366</v>
      </c>
      <c r="E38" s="1" t="n">
        <v>46317</v>
      </c>
      <c r="F38" t="inlineStr">
        <is>
          <t>NORRBOTTENS LÄN</t>
        </is>
      </c>
      <c r="G38" t="inlineStr">
        <is>
          <t>ARJEPLOG</t>
        </is>
      </c>
      <c r="I38" t="n">
        <v>15.5</v>
      </c>
      <c r="J38" t="n">
        <v>2</v>
      </c>
      <c r="K38" t="n">
        <v>3</v>
      </c>
      <c r="L38" t="n">
        <v>0</v>
      </c>
      <c r="M38" t="n">
        <v>0</v>
      </c>
      <c r="N38" t="n">
        <v>0</v>
      </c>
      <c r="O38" t="n">
        <v>0</v>
      </c>
      <c r="P38" t="n">
        <v>0</v>
      </c>
      <c r="Q38" t="n">
        <v>0</v>
      </c>
      <c r="R38" t="n">
        <v>0</v>
      </c>
      <c r="S38" t="n">
        <v>3</v>
      </c>
      <c r="T38" t="n">
        <v>4</v>
      </c>
      <c r="U38" t="n">
        <v>0</v>
      </c>
      <c r="V38" s="2" t="inlineStr">
        <is>
          <t>Korallrot
Spindelblomster
Ögonpyrola</t>
        </is>
      </c>
      <c r="W38">
        <f>HYPERLINK("https://klasma.github.io/Logging_2506/artfynd/A 10525-2024 artfynd.xlsx", "A 10525-2024")</f>
        <v/>
      </c>
      <c r="X38">
        <f>HYPERLINK("https://klasma.github.io/Logging_2506/kartor/A 10525-2024 karta.png", "A 10525-2024")</f>
        <v/>
      </c>
      <c r="Y38">
        <f>HYPERLINK("https://klasma.github.io/Logging_2506/kartor_geotiff/A 10525-2024 georefererad karta.tif", "A 10525-2024")</f>
        <v/>
      </c>
      <c r="AA38">
        <f>HYPERLINK("https://klasma.github.io/Logging_2506/klagomål/A 10525-2024 FSC-klagomål.docx", "A 10525-2024")</f>
        <v/>
      </c>
      <c r="AB38">
        <f>HYPERLINK("https://klasma.github.io/Logging_2506/klagomålsmail/A 10525-2024 FSC-klagomål mail.docx", "A 10525-2024")</f>
        <v/>
      </c>
      <c r="AC38">
        <f>HYPERLINK("https://klasma.github.io/Logging_2506/tillsyn/A 10525-2024 tillsynsbegäran.docx", "A 10525-2024")</f>
        <v/>
      </c>
      <c r="AD38">
        <f>HYPERLINK("https://klasma.github.io/Logging_2506/tillsynsmail/A 10525-2024 tillsynsbegäran mail.docx", "A 10525-2024")</f>
        <v/>
      </c>
    </row>
    <row r="39" ht="15" customHeight="1">
      <c r="A39" t="inlineStr">
        <is>
          <t>A 36564-2026</t>
        </is>
      </c>
      <c r="B39" t="inlineStr">
        <is>
          <t>avverkningsanmälan</t>
        </is>
      </c>
      <c r="C39" t="inlineStr">
        <is>
          <t>Föryngringsavverkning</t>
        </is>
      </c>
      <c r="D39" s="1" t="n">
        <v>46269</v>
      </c>
      <c r="E39" s="1" t="n">
        <v>46317</v>
      </c>
      <c r="F39" t="inlineStr">
        <is>
          <t>NORRBOTTENS LÄN</t>
        </is>
      </c>
      <c r="G39" t="inlineStr">
        <is>
          <t>ARJEPLOG</t>
        </is>
      </c>
      <c r="H39" t="inlineStr">
        <is>
          <t>Sveaskog</t>
        </is>
      </c>
      <c r="I39" t="n">
        <v>21.5</v>
      </c>
      <c r="J39" t="n">
        <v>0</v>
      </c>
      <c r="K39" t="n">
        <v>1</v>
      </c>
      <c r="L39" t="n">
        <v>2</v>
      </c>
      <c r="M39" t="n">
        <v>0</v>
      </c>
      <c r="N39" t="n">
        <v>0</v>
      </c>
      <c r="O39" t="n">
        <v>0</v>
      </c>
      <c r="P39" t="n">
        <v>0</v>
      </c>
      <c r="Q39" t="n">
        <v>2</v>
      </c>
      <c r="R39" t="n">
        <v>0</v>
      </c>
      <c r="S39" t="n">
        <v>3</v>
      </c>
      <c r="T39" t="n">
        <v>5</v>
      </c>
      <c r="U39" t="n">
        <v>0</v>
      </c>
      <c r="V39" s="2" t="inlineStr">
        <is>
          <t>Blå taggsvamp
Kolflarnlav
Stuplav</t>
        </is>
      </c>
      <c r="W39">
        <f>HYPERLINK("https://klasma.github.io/Logging_2506/artfynd/A 36564-2026 artfynd.xlsx", "A 36564-2026")</f>
        <v/>
      </c>
      <c r="X39">
        <f>HYPERLINK("https://klasma.github.io/Logging_2506/kartor/A 36564-2026 karta.png", "A 36564-2026")</f>
        <v/>
      </c>
      <c r="Y39">
        <f>HYPERLINK("https://klasma.github.io/Logging_2506/kartor_geotiff/A 36564-2026 georefererad karta.tif", "A 36564-2026")</f>
        <v/>
      </c>
      <c r="AA39">
        <f>HYPERLINK("https://klasma.github.io/Logging_2506/klagomål/A 36564-2026 FSC-klagomål.docx", "A 36564-2026")</f>
        <v/>
      </c>
      <c r="AB39">
        <f>HYPERLINK("https://klasma.github.io/Logging_2506/klagomålsmail/A 36564-2026 FSC-klagomål mail.docx", "A 36564-2026")</f>
        <v/>
      </c>
      <c r="AC39">
        <f>HYPERLINK("https://klasma.github.io/Logging_2506/tillsyn/A 36564-2026 tillsynsbegäran.docx", "A 36564-2026")</f>
        <v/>
      </c>
      <c r="AD39">
        <f>HYPERLINK("https://klasma.github.io/Logging_2506/tillsynsmail/A 36564-2026 tillsynsbegäran mail.docx", "A 36564-2026")</f>
        <v/>
      </c>
    </row>
    <row r="40" ht="15" customHeight="1">
      <c r="A40" t="inlineStr">
        <is>
          <t>A 45324-2022</t>
        </is>
      </c>
      <c r="B40" t="inlineStr">
        <is>
          <t>avverkningsanmälan</t>
        </is>
      </c>
      <c r="C40" t="inlineStr">
        <is>
          <t>Föryngringsavverkning</t>
        </is>
      </c>
      <c r="D40" s="1" t="n">
        <v>44841</v>
      </c>
      <c r="E40" s="1" t="n">
        <v>46317</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46317</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46317</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46317</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46317</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46317</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46317</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46317</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44751-2022</t>
        </is>
      </c>
      <c r="B48" t="inlineStr">
        <is>
          <t>avverkningsanmälan</t>
        </is>
      </c>
      <c r="C48" t="inlineStr">
        <is>
          <t>Föryngringsavverkning</t>
        </is>
      </c>
      <c r="D48" s="1" t="n">
        <v>44840</v>
      </c>
      <c r="E48" s="1" t="n">
        <v>46317</v>
      </c>
      <c r="F48" t="inlineStr">
        <is>
          <t>NORRBOTTENS LÄN</t>
        </is>
      </c>
      <c r="G48" t="inlineStr">
        <is>
          <t>ARJEPLOG</t>
        </is>
      </c>
      <c r="H48" t="inlineStr">
        <is>
          <t>SCA</t>
        </is>
      </c>
      <c r="I48" t="n">
        <v>26.1</v>
      </c>
      <c r="J48" t="n">
        <v>0</v>
      </c>
      <c r="K48" t="n">
        <v>0</v>
      </c>
      <c r="L48" t="n">
        <v>0</v>
      </c>
      <c r="M48" t="n">
        <v>0</v>
      </c>
      <c r="N48" t="n">
        <v>0</v>
      </c>
      <c r="O48" t="n">
        <v>0</v>
      </c>
      <c r="P48" t="n">
        <v>0</v>
      </c>
      <c r="Q48" t="n">
        <v>0</v>
      </c>
      <c r="R48" t="n">
        <v>0</v>
      </c>
      <c r="S48" t="n">
        <v>0</v>
      </c>
      <c r="T48" t="n">
        <v>0</v>
      </c>
      <c r="U48" t="n">
        <v>0</v>
      </c>
      <c r="V48" s="2" t="inlineStr"/>
    </row>
    <row r="49" ht="15" customHeight="1">
      <c r="A49" t="inlineStr">
        <is>
          <t>A 52573-2022</t>
        </is>
      </c>
      <c r="B49" t="inlineStr">
        <is>
          <t>avverkningsanmälan</t>
        </is>
      </c>
      <c r="C49" t="inlineStr">
        <is>
          <t>Föryngringsavverkning</t>
        </is>
      </c>
      <c r="D49" s="1" t="n">
        <v>44874</v>
      </c>
      <c r="E49" s="1" t="n">
        <v>46317</v>
      </c>
      <c r="F49" t="inlineStr">
        <is>
          <t>NORRBOTTENS LÄN</t>
        </is>
      </c>
      <c r="G49" t="inlineStr">
        <is>
          <t>ARJEPLOG</t>
        </is>
      </c>
      <c r="I49" t="n">
        <v>7.7</v>
      </c>
      <c r="J49" t="n">
        <v>0</v>
      </c>
      <c r="K49" t="n">
        <v>0</v>
      </c>
      <c r="L49" t="n">
        <v>0</v>
      </c>
      <c r="M49" t="n">
        <v>0</v>
      </c>
      <c r="N49" t="n">
        <v>0</v>
      </c>
      <c r="O49" t="n">
        <v>0</v>
      </c>
      <c r="P49" t="n">
        <v>0</v>
      </c>
      <c r="Q49" t="n">
        <v>0</v>
      </c>
      <c r="R49" t="n">
        <v>0</v>
      </c>
      <c r="S49" t="n">
        <v>0</v>
      </c>
      <c r="T49" t="n">
        <v>0</v>
      </c>
      <c r="U49" t="n">
        <v>0</v>
      </c>
      <c r="V49" s="2" t="inlineStr"/>
    </row>
    <row r="50" ht="15" customHeight="1">
      <c r="A50" t="inlineStr">
        <is>
          <t>A 19620-2022</t>
        </is>
      </c>
      <c r="B50" t="inlineStr">
        <is>
          <t>avverkningsanmälan</t>
        </is>
      </c>
      <c r="C50" t="inlineStr">
        <is>
          <t>Avverkning för annat ändamål</t>
        </is>
      </c>
      <c r="D50" s="1" t="n">
        <v>44694</v>
      </c>
      <c r="E50" s="1" t="n">
        <v>46317</v>
      </c>
      <c r="F50" t="inlineStr">
        <is>
          <t>NORRBOTTENS LÄN</t>
        </is>
      </c>
      <c r="G50" t="inlineStr">
        <is>
          <t>ARJEPLOG</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72279-2021</t>
        </is>
      </c>
      <c r="B51" t="inlineStr">
        <is>
          <t>avverkningsanmälan</t>
        </is>
      </c>
      <c r="C51" t="inlineStr">
        <is>
          <t>Avverkning för annat ändamål</t>
        </is>
      </c>
      <c r="D51" s="1" t="n">
        <v>44543</v>
      </c>
      <c r="E51" s="1" t="n">
        <v>46317</v>
      </c>
      <c r="F51" t="inlineStr">
        <is>
          <t>NORRBOTTENS LÄN</t>
        </is>
      </c>
      <c r="G51" t="inlineStr">
        <is>
          <t>ARJEPLOG</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56785-2024</t>
        </is>
      </c>
      <c r="B52" t="inlineStr">
        <is>
          <t>avverkningsanmälan</t>
        </is>
      </c>
      <c r="C52" t="inlineStr">
        <is>
          <t>Föryngringsavverkning</t>
        </is>
      </c>
      <c r="D52" s="1" t="n">
        <v>45625</v>
      </c>
      <c r="E52" s="1" t="n">
        <v>46317</v>
      </c>
      <c r="F52" t="inlineStr">
        <is>
          <t>NORRBOTTENS LÄN</t>
        </is>
      </c>
      <c r="G52" t="inlineStr">
        <is>
          <t>ARJEPLOG</t>
        </is>
      </c>
      <c r="I52" t="n">
        <v>11.2</v>
      </c>
      <c r="J52" t="n">
        <v>0</v>
      </c>
      <c r="K52" t="n">
        <v>0</v>
      </c>
      <c r="L52" t="n">
        <v>0</v>
      </c>
      <c r="M52" t="n">
        <v>0</v>
      </c>
      <c r="N52" t="n">
        <v>0</v>
      </c>
      <c r="O52" t="n">
        <v>0</v>
      </c>
      <c r="P52" t="n">
        <v>0</v>
      </c>
      <c r="Q52" t="n">
        <v>0</v>
      </c>
      <c r="R52" t="n">
        <v>0</v>
      </c>
      <c r="S52" t="n">
        <v>0</v>
      </c>
      <c r="T52" t="n">
        <v>0</v>
      </c>
      <c r="U52" t="n">
        <v>0</v>
      </c>
      <c r="V52" s="2" t="inlineStr"/>
    </row>
    <row r="53" ht="15" customHeight="1">
      <c r="A53" t="inlineStr">
        <is>
          <t>A 55124-2024</t>
        </is>
      </c>
      <c r="B53" t="inlineStr">
        <is>
          <t>avverkningsanmälan</t>
        </is>
      </c>
      <c r="C53" t="inlineStr">
        <is>
          <t>Föryngringsavverkning</t>
        </is>
      </c>
      <c r="D53" s="1" t="n">
        <v>45618</v>
      </c>
      <c r="E53" s="1" t="n">
        <v>46317</v>
      </c>
      <c r="F53" t="inlineStr">
        <is>
          <t>NORRBOTTENS LÄN</t>
        </is>
      </c>
      <c r="G53" t="inlineStr">
        <is>
          <t>ARJEPLOG</t>
        </is>
      </c>
      <c r="I53" t="n">
        <v>18.3</v>
      </c>
      <c r="J53" t="n">
        <v>0</v>
      </c>
      <c r="K53" t="n">
        <v>0</v>
      </c>
      <c r="L53" t="n">
        <v>0</v>
      </c>
      <c r="M53" t="n">
        <v>0</v>
      </c>
      <c r="N53" t="n">
        <v>0</v>
      </c>
      <c r="O53" t="n">
        <v>0</v>
      </c>
      <c r="P53" t="n">
        <v>0</v>
      </c>
      <c r="Q53" t="n">
        <v>0</v>
      </c>
      <c r="R53" t="n">
        <v>0</v>
      </c>
      <c r="S53" t="n">
        <v>0</v>
      </c>
      <c r="T53" t="n">
        <v>0</v>
      </c>
      <c r="U53" t="n">
        <v>0</v>
      </c>
      <c r="V53" s="2" t="inlineStr"/>
    </row>
    <row r="54" ht="15" customHeight="1">
      <c r="A54" t="inlineStr">
        <is>
          <t>A 26103-2024</t>
        </is>
      </c>
      <c r="B54" t="inlineStr">
        <is>
          <t>avverkningsanmälan</t>
        </is>
      </c>
      <c r="C54" t="inlineStr">
        <is>
          <t>Föryngringsavverkning</t>
        </is>
      </c>
      <c r="D54" s="1" t="n">
        <v>45467</v>
      </c>
      <c r="E54" s="1" t="n">
        <v>46317</v>
      </c>
      <c r="F54" t="inlineStr">
        <is>
          <t>NORRBOTTENS LÄN</t>
        </is>
      </c>
      <c r="G54" t="inlineStr">
        <is>
          <t>ARJEPLOG</t>
        </is>
      </c>
      <c r="I54" t="n">
        <v>17.2</v>
      </c>
      <c r="J54" t="n">
        <v>0</v>
      </c>
      <c r="K54" t="n">
        <v>0</v>
      </c>
      <c r="L54" t="n">
        <v>0</v>
      </c>
      <c r="M54" t="n">
        <v>0</v>
      </c>
      <c r="N54" t="n">
        <v>0</v>
      </c>
      <c r="O54" t="n">
        <v>0</v>
      </c>
      <c r="P54" t="n">
        <v>0</v>
      </c>
      <c r="Q54" t="n">
        <v>0</v>
      </c>
      <c r="R54" t="n">
        <v>0</v>
      </c>
      <c r="S54" t="n">
        <v>0</v>
      </c>
      <c r="T54" t="n">
        <v>0</v>
      </c>
      <c r="U54" t="n">
        <v>0</v>
      </c>
      <c r="V54" s="2" t="inlineStr"/>
    </row>
    <row r="55" ht="15" customHeight="1">
      <c r="A55" t="inlineStr">
        <is>
          <t>A 35627-2025</t>
        </is>
      </c>
      <c r="B55" t="inlineStr">
        <is>
          <t>avverkningsanmälan</t>
        </is>
      </c>
      <c r="C55" t="inlineStr">
        <is>
          <t>Föryngringsavverkning</t>
        </is>
      </c>
      <c r="D55" s="1" t="n">
        <v>45859</v>
      </c>
      <c r="E55" s="1" t="n">
        <v>46317</v>
      </c>
      <c r="F55" t="inlineStr">
        <is>
          <t>NORRBOTTENS LÄN</t>
        </is>
      </c>
      <c r="G55" t="inlineStr">
        <is>
          <t>ARJEPLOG</t>
        </is>
      </c>
      <c r="I55" t="n">
        <v>8</v>
      </c>
      <c r="J55" t="n">
        <v>0</v>
      </c>
      <c r="K55" t="n">
        <v>0</v>
      </c>
      <c r="L55" t="n">
        <v>0</v>
      </c>
      <c r="M55" t="n">
        <v>0</v>
      </c>
      <c r="N55" t="n">
        <v>0</v>
      </c>
      <c r="O55" t="n">
        <v>0</v>
      </c>
      <c r="P55" t="n">
        <v>0</v>
      </c>
      <c r="Q55" t="n">
        <v>0</v>
      </c>
      <c r="R55" t="n">
        <v>0</v>
      </c>
      <c r="S55" t="n">
        <v>0</v>
      </c>
      <c r="T55" t="n">
        <v>0</v>
      </c>
      <c r="U55" t="n">
        <v>0</v>
      </c>
      <c r="V55" s="2" t="inlineStr"/>
    </row>
    <row r="56" ht="15" customHeight="1">
      <c r="A56" t="inlineStr">
        <is>
          <t>A 42331-2025</t>
        </is>
      </c>
      <c r="B56" t="inlineStr">
        <is>
          <t>avverkningsanmälan</t>
        </is>
      </c>
      <c r="C56" t="inlineStr">
        <is>
          <t>Föryngringsavverkning</t>
        </is>
      </c>
      <c r="D56" s="1" t="n">
        <v>45903</v>
      </c>
      <c r="E56" s="1" t="n">
        <v>46317</v>
      </c>
      <c r="F56" t="inlineStr">
        <is>
          <t>NORRBOTTENS LÄN</t>
        </is>
      </c>
      <c r="G56" t="inlineStr">
        <is>
          <t>ARJEPLOG</t>
        </is>
      </c>
      <c r="I56" t="n">
        <v>10</v>
      </c>
      <c r="J56" t="n">
        <v>0</v>
      </c>
      <c r="K56" t="n">
        <v>0</v>
      </c>
      <c r="L56" t="n">
        <v>0</v>
      </c>
      <c r="M56" t="n">
        <v>0</v>
      </c>
      <c r="N56" t="n">
        <v>0</v>
      </c>
      <c r="O56" t="n">
        <v>0</v>
      </c>
      <c r="P56" t="n">
        <v>0</v>
      </c>
      <c r="Q56" t="n">
        <v>0</v>
      </c>
      <c r="R56" t="n">
        <v>0</v>
      </c>
      <c r="S56" t="n">
        <v>0</v>
      </c>
      <c r="T56" t="n">
        <v>0</v>
      </c>
      <c r="U56" t="n">
        <v>0</v>
      </c>
      <c r="V56" s="2" t="inlineStr"/>
    </row>
    <row r="57" ht="15" customHeight="1">
      <c r="A57" t="inlineStr">
        <is>
          <t>A 43045-2022</t>
        </is>
      </c>
      <c r="B57" t="inlineStr">
        <is>
          <t>avverkningsanmälan</t>
        </is>
      </c>
      <c r="C57" t="inlineStr">
        <is>
          <t>Föryngringsavverkning</t>
        </is>
      </c>
      <c r="D57" s="1" t="n">
        <v>44833</v>
      </c>
      <c r="E57" s="1" t="n">
        <v>46317</v>
      </c>
      <c r="F57" t="inlineStr">
        <is>
          <t>NORRBOTTENS LÄN</t>
        </is>
      </c>
      <c r="G57" t="inlineStr">
        <is>
          <t>ARJEPLOG</t>
        </is>
      </c>
      <c r="I57" t="n">
        <v>24.6</v>
      </c>
      <c r="J57" t="n">
        <v>0</v>
      </c>
      <c r="K57" t="n">
        <v>0</v>
      </c>
      <c r="L57" t="n">
        <v>0</v>
      </c>
      <c r="M57" t="n">
        <v>0</v>
      </c>
      <c r="N57" t="n">
        <v>0</v>
      </c>
      <c r="O57" t="n">
        <v>0</v>
      </c>
      <c r="P57" t="n">
        <v>0</v>
      </c>
      <c r="Q57" t="n">
        <v>0</v>
      </c>
      <c r="R57" t="n">
        <v>0</v>
      </c>
      <c r="S57" t="n">
        <v>0</v>
      </c>
      <c r="T57" t="n">
        <v>0</v>
      </c>
      <c r="U57" t="n">
        <v>0</v>
      </c>
      <c r="V57" s="2" t="inlineStr"/>
    </row>
    <row r="58" ht="15" customHeight="1">
      <c r="A58" t="inlineStr">
        <is>
          <t>A 42597-2025</t>
        </is>
      </c>
      <c r="B58" t="inlineStr">
        <is>
          <t>avverkningsanmälan</t>
        </is>
      </c>
      <c r="C58" t="inlineStr">
        <is>
          <t>Föryngringsavverkning</t>
        </is>
      </c>
      <c r="D58" s="1" t="n">
        <v>45905</v>
      </c>
      <c r="E58" s="1" t="n">
        <v>46317</v>
      </c>
      <c r="F58" t="inlineStr">
        <is>
          <t>NORRBOTTENS LÄN</t>
        </is>
      </c>
      <c r="G58" t="inlineStr">
        <is>
          <t>ARJEPLOG</t>
        </is>
      </c>
      <c r="I58" t="n">
        <v>9.199999999999999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43045-2022</t>
        </is>
      </c>
      <c r="B59" t="inlineStr">
        <is>
          <t>avverkningsanmälan</t>
        </is>
      </c>
      <c r="C59" t="inlineStr">
        <is>
          <t>Föryngringsavverkning</t>
        </is>
      </c>
      <c r="D59" s="1" t="n">
        <v>44833</v>
      </c>
      <c r="E59" s="1" t="n">
        <v>46317</v>
      </c>
      <c r="F59" t="inlineStr">
        <is>
          <t>NORRBOTTENS LÄN</t>
        </is>
      </c>
      <c r="G59" t="inlineStr">
        <is>
          <t>ARJEPLOG</t>
        </is>
      </c>
      <c r="I59" t="n">
        <v>23.2</v>
      </c>
      <c r="J59" t="n">
        <v>0</v>
      </c>
      <c r="K59" t="n">
        <v>0</v>
      </c>
      <c r="L59" t="n">
        <v>0</v>
      </c>
      <c r="M59" t="n">
        <v>0</v>
      </c>
      <c r="N59" t="n">
        <v>0</v>
      </c>
      <c r="O59" t="n">
        <v>0</v>
      </c>
      <c r="P59" t="n">
        <v>0</v>
      </c>
      <c r="Q59" t="n">
        <v>0</v>
      </c>
      <c r="R59" t="n">
        <v>0</v>
      </c>
      <c r="S59" t="n">
        <v>0</v>
      </c>
      <c r="T59" t="n">
        <v>0</v>
      </c>
      <c r="U59" t="n">
        <v>0</v>
      </c>
      <c r="V59" s="2" t="inlineStr"/>
    </row>
    <row r="60" ht="15" customHeight="1">
      <c r="A60" t="inlineStr">
        <is>
          <t>A 35194-2024</t>
        </is>
      </c>
      <c r="B60" t="inlineStr">
        <is>
          <t>avverkningsanmälan</t>
        </is>
      </c>
      <c r="C60" t="inlineStr">
        <is>
          <t>Föryngringsavverkning</t>
        </is>
      </c>
      <c r="D60" s="1" t="n">
        <v>45530</v>
      </c>
      <c r="E60" s="1" t="n">
        <v>46317</v>
      </c>
      <c r="F60" t="inlineStr">
        <is>
          <t>NORRBOTTENS LÄN</t>
        </is>
      </c>
      <c r="G60" t="inlineStr">
        <is>
          <t>ARJEPLOG</t>
        </is>
      </c>
      <c r="I60" t="n">
        <v>20.1</v>
      </c>
      <c r="J60" t="n">
        <v>0</v>
      </c>
      <c r="K60" t="n">
        <v>0</v>
      </c>
      <c r="L60" t="n">
        <v>0</v>
      </c>
      <c r="M60" t="n">
        <v>0</v>
      </c>
      <c r="N60" t="n">
        <v>0</v>
      </c>
      <c r="O60" t="n">
        <v>0</v>
      </c>
      <c r="P60" t="n">
        <v>0</v>
      </c>
      <c r="Q60" t="n">
        <v>0</v>
      </c>
      <c r="R60" t="n">
        <v>0</v>
      </c>
      <c r="S60" t="n">
        <v>0</v>
      </c>
      <c r="T60" t="n">
        <v>0</v>
      </c>
      <c r="U60" t="n">
        <v>0</v>
      </c>
      <c r="V60" s="2" t="inlineStr"/>
    </row>
    <row r="61" ht="15" customHeight="1">
      <c r="A61" t="inlineStr">
        <is>
          <t>A 526-2025</t>
        </is>
      </c>
      <c r="B61" t="inlineStr">
        <is>
          <t>avverkningsanmälan</t>
        </is>
      </c>
      <c r="C61" t="inlineStr">
        <is>
          <t>Avverkning för annat ändamål</t>
        </is>
      </c>
      <c r="D61" s="1" t="n">
        <v>45664</v>
      </c>
      <c r="E61" s="1" t="n">
        <v>46317</v>
      </c>
      <c r="F61" t="inlineStr">
        <is>
          <t>NORRBOTTENS LÄN</t>
        </is>
      </c>
      <c r="G61" t="inlineStr">
        <is>
          <t>ARJEPLOG</t>
        </is>
      </c>
      <c r="H61" t="inlineStr">
        <is>
          <t>Övriga statliga verk och myndigheter</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64832-2023</t>
        </is>
      </c>
      <c r="B62" t="inlineStr">
        <is>
          <t>avverkningsanmälan</t>
        </is>
      </c>
      <c r="C62" t="inlineStr">
        <is>
          <t>Föryngringsavverkning</t>
        </is>
      </c>
      <c r="D62" s="1" t="n">
        <v>45281</v>
      </c>
      <c r="E62" s="1" t="n">
        <v>46317</v>
      </c>
      <c r="F62" t="inlineStr">
        <is>
          <t>NORRBOTTENS LÄN</t>
        </is>
      </c>
      <c r="G62" t="inlineStr">
        <is>
          <t>ARJEPLOG</t>
        </is>
      </c>
      <c r="I62" t="n">
        <v>43.6</v>
      </c>
      <c r="J62" t="n">
        <v>0</v>
      </c>
      <c r="K62" t="n">
        <v>0</v>
      </c>
      <c r="L62" t="n">
        <v>0</v>
      </c>
      <c r="M62" t="n">
        <v>0</v>
      </c>
      <c r="N62" t="n">
        <v>0</v>
      </c>
      <c r="O62" t="n">
        <v>0</v>
      </c>
      <c r="P62" t="n">
        <v>0</v>
      </c>
      <c r="Q62" t="n">
        <v>0</v>
      </c>
      <c r="R62" t="n">
        <v>0</v>
      </c>
      <c r="S62" t="n">
        <v>0</v>
      </c>
      <c r="T62" t="n">
        <v>0</v>
      </c>
      <c r="U62" t="n">
        <v>0</v>
      </c>
      <c r="V62" s="2" t="inlineStr"/>
    </row>
    <row r="63" ht="15" customHeight="1">
      <c r="A63" t="inlineStr">
        <is>
          <t>A 36623-2023</t>
        </is>
      </c>
      <c r="B63" t="inlineStr">
        <is>
          <t>avverkningsanmälan</t>
        </is>
      </c>
      <c r="C63" t="inlineStr">
        <is>
          <t>Föryngringsavverkning</t>
        </is>
      </c>
      <c r="D63" s="1" t="n">
        <v>45153</v>
      </c>
      <c r="E63" s="1" t="n">
        <v>46317</v>
      </c>
      <c r="F63" t="inlineStr">
        <is>
          <t>NORRBOTTENS LÄN</t>
        </is>
      </c>
      <c r="G63" t="inlineStr">
        <is>
          <t>ARJEPLOG</t>
        </is>
      </c>
      <c r="H63" t="inlineStr">
        <is>
          <t>Sveaskog</t>
        </is>
      </c>
      <c r="I63" t="n">
        <v>16.9</v>
      </c>
      <c r="J63" t="n">
        <v>0</v>
      </c>
      <c r="K63" t="n">
        <v>0</v>
      </c>
      <c r="L63" t="n">
        <v>0</v>
      </c>
      <c r="M63" t="n">
        <v>0</v>
      </c>
      <c r="N63" t="n">
        <v>0</v>
      </c>
      <c r="O63" t="n">
        <v>0</v>
      </c>
      <c r="P63" t="n">
        <v>0</v>
      </c>
      <c r="Q63" t="n">
        <v>0</v>
      </c>
      <c r="R63" t="n">
        <v>0</v>
      </c>
      <c r="S63" t="n">
        <v>0</v>
      </c>
      <c r="T63" t="n">
        <v>0</v>
      </c>
      <c r="U63" t="n">
        <v>0</v>
      </c>
      <c r="V63" s="2" t="inlineStr"/>
    </row>
    <row r="64" ht="15" customHeight="1">
      <c r="A64" t="inlineStr">
        <is>
          <t>A 50255-2023</t>
        </is>
      </c>
      <c r="B64" t="inlineStr">
        <is>
          <t>avverkningsanmälan</t>
        </is>
      </c>
      <c r="C64" t="inlineStr">
        <is>
          <t>Föryngringsavverkning</t>
        </is>
      </c>
      <c r="D64" s="1" t="n">
        <v>45216</v>
      </c>
      <c r="E64" s="1" t="n">
        <v>46317</v>
      </c>
      <c r="F64" t="inlineStr">
        <is>
          <t>NORRBOTTENS LÄN</t>
        </is>
      </c>
      <c r="G64" t="inlineStr">
        <is>
          <t>ARJEPLOG</t>
        </is>
      </c>
      <c r="I64" t="n">
        <v>20</v>
      </c>
      <c r="J64" t="n">
        <v>0</v>
      </c>
      <c r="K64" t="n">
        <v>0</v>
      </c>
      <c r="L64" t="n">
        <v>0</v>
      </c>
      <c r="M64" t="n">
        <v>0</v>
      </c>
      <c r="N64" t="n">
        <v>0</v>
      </c>
      <c r="O64" t="n">
        <v>0</v>
      </c>
      <c r="P64" t="n">
        <v>0</v>
      </c>
      <c r="Q64" t="n">
        <v>0</v>
      </c>
      <c r="R64" t="n">
        <v>0</v>
      </c>
      <c r="S64" t="n">
        <v>0</v>
      </c>
      <c r="T64" t="n">
        <v>0</v>
      </c>
      <c r="U64" t="n">
        <v>0</v>
      </c>
      <c r="V64" s="2" t="inlineStr"/>
    </row>
    <row r="65" ht="15" customHeight="1">
      <c r="A65" t="inlineStr">
        <is>
          <t>A 31104-2025</t>
        </is>
      </c>
      <c r="B65" t="inlineStr">
        <is>
          <t>avverkningsanmälan</t>
        </is>
      </c>
      <c r="C65" t="inlineStr">
        <is>
          <t>Föryngringsavverkning</t>
        </is>
      </c>
      <c r="D65" s="1" t="n">
        <v>45832</v>
      </c>
      <c r="E65" s="1" t="n">
        <v>46317</v>
      </c>
      <c r="F65" t="inlineStr">
        <is>
          <t>NORRBOTTENS LÄN</t>
        </is>
      </c>
      <c r="G65" t="inlineStr">
        <is>
          <t>ARJEPLOG</t>
        </is>
      </c>
      <c r="I65" t="n">
        <v>4.3</v>
      </c>
      <c r="J65" t="n">
        <v>0</v>
      </c>
      <c r="K65" t="n">
        <v>0</v>
      </c>
      <c r="L65" t="n">
        <v>0</v>
      </c>
      <c r="M65" t="n">
        <v>0</v>
      </c>
      <c r="N65" t="n">
        <v>0</v>
      </c>
      <c r="O65" t="n">
        <v>0</v>
      </c>
      <c r="P65" t="n">
        <v>0</v>
      </c>
      <c r="Q65" t="n">
        <v>0</v>
      </c>
      <c r="R65" t="n">
        <v>0</v>
      </c>
      <c r="S65" t="n">
        <v>0</v>
      </c>
      <c r="T65" t="n">
        <v>0</v>
      </c>
      <c r="U65" t="n">
        <v>0</v>
      </c>
      <c r="V65" s="2" t="inlineStr"/>
    </row>
    <row r="66" ht="15" customHeight="1">
      <c r="A66" t="inlineStr">
        <is>
          <t>A 25275-2023</t>
        </is>
      </c>
      <c r="B66" t="inlineStr">
        <is>
          <t>avverkningsanmälan</t>
        </is>
      </c>
      <c r="C66" t="inlineStr">
        <is>
          <t>Föryngringsavverkning</t>
        </is>
      </c>
      <c r="D66" s="1" t="n">
        <v>45079</v>
      </c>
      <c r="E66" s="1" t="n">
        <v>46317</v>
      </c>
      <c r="F66" t="inlineStr">
        <is>
          <t>NORRBOTTENS LÄN</t>
        </is>
      </c>
      <c r="G66" t="inlineStr">
        <is>
          <t>ARJEPLOG</t>
        </is>
      </c>
      <c r="H66" t="inlineStr">
        <is>
          <t>Övriga statliga verk och myndigheter</t>
        </is>
      </c>
      <c r="I66" t="n">
        <v>22.7</v>
      </c>
      <c r="J66" t="n">
        <v>0</v>
      </c>
      <c r="K66" t="n">
        <v>0</v>
      </c>
      <c r="L66" t="n">
        <v>0</v>
      </c>
      <c r="M66" t="n">
        <v>0</v>
      </c>
      <c r="N66" t="n">
        <v>0</v>
      </c>
      <c r="O66" t="n">
        <v>0</v>
      </c>
      <c r="P66" t="n">
        <v>0</v>
      </c>
      <c r="Q66" t="n">
        <v>0</v>
      </c>
      <c r="R66" t="n">
        <v>0</v>
      </c>
      <c r="S66" t="n">
        <v>0</v>
      </c>
      <c r="T66" t="n">
        <v>0</v>
      </c>
      <c r="U66" t="n">
        <v>0</v>
      </c>
      <c r="V66" s="2" t="inlineStr"/>
    </row>
    <row r="67" ht="15" customHeight="1">
      <c r="A67" t="inlineStr">
        <is>
          <t>A 25559-2022</t>
        </is>
      </c>
      <c r="B67" t="inlineStr">
        <is>
          <t>avverkningsanmälan</t>
        </is>
      </c>
      <c r="C67" t="inlineStr">
        <is>
          <t>Föryngringsavverkning</t>
        </is>
      </c>
      <c r="D67" s="1" t="n">
        <v>44732</v>
      </c>
      <c r="E67" s="1" t="n">
        <v>46317</v>
      </c>
      <c r="F67" t="inlineStr">
        <is>
          <t>NORRBOTTENS LÄN</t>
        </is>
      </c>
      <c r="G67" t="inlineStr">
        <is>
          <t>ARJEPLOG</t>
        </is>
      </c>
      <c r="H67" t="inlineStr">
        <is>
          <t>Övriga statliga verk och myndigheter</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48987-2025</t>
        </is>
      </c>
      <c r="B68" t="inlineStr">
        <is>
          <t>avverkningsanmälan</t>
        </is>
      </c>
      <c r="C68" t="inlineStr">
        <is>
          <t>Avverkning för annat ändamål</t>
        </is>
      </c>
      <c r="D68" s="1" t="n">
        <v>45937</v>
      </c>
      <c r="E68" s="1" t="n">
        <v>46317</v>
      </c>
      <c r="F68" t="inlineStr">
        <is>
          <t>NORRBOTTENS LÄN</t>
        </is>
      </c>
      <c r="G68" t="inlineStr">
        <is>
          <t>ARJEPLOG</t>
        </is>
      </c>
      <c r="H68" t="inlineStr">
        <is>
          <t>Sveaskog</t>
        </is>
      </c>
      <c r="I68" t="n">
        <v>6.5</v>
      </c>
      <c r="J68" t="n">
        <v>0</v>
      </c>
      <c r="K68" t="n">
        <v>0</v>
      </c>
      <c r="L68" t="n">
        <v>0</v>
      </c>
      <c r="M68" t="n">
        <v>0</v>
      </c>
      <c r="N68" t="n">
        <v>0</v>
      </c>
      <c r="O68" t="n">
        <v>0</v>
      </c>
      <c r="P68" t="n">
        <v>0</v>
      </c>
      <c r="Q68" t="n">
        <v>0</v>
      </c>
      <c r="R68" t="n">
        <v>0</v>
      </c>
      <c r="S68" t="n">
        <v>0</v>
      </c>
      <c r="T68" t="n">
        <v>0</v>
      </c>
      <c r="U68" t="n">
        <v>0</v>
      </c>
      <c r="V68" s="2" t="inlineStr"/>
    </row>
    <row r="69" ht="15" customHeight="1">
      <c r="A69" t="inlineStr">
        <is>
          <t>A 23949-2024</t>
        </is>
      </c>
      <c r="B69" t="inlineStr">
        <is>
          <t>avverkningsanmälan</t>
        </is>
      </c>
      <c r="C69" t="inlineStr">
        <is>
          <t>Föryngringsavverkning</t>
        </is>
      </c>
      <c r="D69" s="1" t="n">
        <v>45455</v>
      </c>
      <c r="E69" s="1" t="n">
        <v>46317</v>
      </c>
      <c r="F69" t="inlineStr">
        <is>
          <t>NORRBOTTENS LÄN</t>
        </is>
      </c>
      <c r="G69" t="inlineStr">
        <is>
          <t>ARJEPLOG</t>
        </is>
      </c>
      <c r="H69" t="inlineStr">
        <is>
          <t>SCA</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29662-2025</t>
        </is>
      </c>
      <c r="B70" t="inlineStr">
        <is>
          <t>avverkningsanmälan</t>
        </is>
      </c>
      <c r="C70" t="inlineStr">
        <is>
          <t>Föryngringsavverkning</t>
        </is>
      </c>
      <c r="D70" s="1" t="n">
        <v>45825</v>
      </c>
      <c r="E70" s="1" t="n">
        <v>46317</v>
      </c>
      <c r="F70" t="inlineStr">
        <is>
          <t>NORRBOTTENS LÄN</t>
        </is>
      </c>
      <c r="G70" t="inlineStr">
        <is>
          <t>ARJEPLOG</t>
        </is>
      </c>
      <c r="H70" t="inlineStr">
        <is>
          <t>Allmännings- och besparingsskogar</t>
        </is>
      </c>
      <c r="I70" t="n">
        <v>23.7</v>
      </c>
      <c r="J70" t="n">
        <v>0</v>
      </c>
      <c r="K70" t="n">
        <v>0</v>
      </c>
      <c r="L70" t="n">
        <v>0</v>
      </c>
      <c r="M70" t="n">
        <v>0</v>
      </c>
      <c r="N70" t="n">
        <v>0</v>
      </c>
      <c r="O70" t="n">
        <v>0</v>
      </c>
      <c r="P70" t="n">
        <v>0</v>
      </c>
      <c r="Q70" t="n">
        <v>0</v>
      </c>
      <c r="R70" t="n">
        <v>0</v>
      </c>
      <c r="S70" t="n">
        <v>0</v>
      </c>
      <c r="T70" t="n">
        <v>0</v>
      </c>
      <c r="U70" t="n">
        <v>0</v>
      </c>
      <c r="V70" s="2" t="inlineStr"/>
    </row>
    <row r="71" ht="15" customHeight="1">
      <c r="A71" t="inlineStr">
        <is>
          <t>A 34426-2025</t>
        </is>
      </c>
      <c r="B71" t="inlineStr">
        <is>
          <t>avverkningsanmälan</t>
        </is>
      </c>
      <c r="C71" t="inlineStr">
        <is>
          <t>Föryngringsavverkning</t>
        </is>
      </c>
      <c r="D71" s="1" t="n">
        <v>45845</v>
      </c>
      <c r="E71" s="1" t="n">
        <v>46317</v>
      </c>
      <c r="F71" t="inlineStr">
        <is>
          <t>NORRBOTTENS LÄN</t>
        </is>
      </c>
      <c r="G71" t="inlineStr">
        <is>
          <t>ARJEPLOG</t>
        </is>
      </c>
      <c r="I71" t="n">
        <v>4.3</v>
      </c>
      <c r="J71" t="n">
        <v>0</v>
      </c>
      <c r="K71" t="n">
        <v>0</v>
      </c>
      <c r="L71" t="n">
        <v>0</v>
      </c>
      <c r="M71" t="n">
        <v>0</v>
      </c>
      <c r="N71" t="n">
        <v>0</v>
      </c>
      <c r="O71" t="n">
        <v>0</v>
      </c>
      <c r="P71" t="n">
        <v>0</v>
      </c>
      <c r="Q71" t="n">
        <v>0</v>
      </c>
      <c r="R71" t="n">
        <v>0</v>
      </c>
      <c r="S71" t="n">
        <v>0</v>
      </c>
      <c r="T71" t="n">
        <v>0</v>
      </c>
      <c r="U71" t="n">
        <v>0</v>
      </c>
      <c r="V71" s="2" t="inlineStr"/>
    </row>
    <row r="72" ht="15" customHeight="1">
      <c r="A72" t="inlineStr">
        <is>
          <t>A 17536-2023</t>
        </is>
      </c>
      <c r="B72" t="inlineStr">
        <is>
          <t>avverkningsanmälan</t>
        </is>
      </c>
      <c r="C72" t="inlineStr">
        <is>
          <t>Föryngringsavverkning</t>
        </is>
      </c>
      <c r="D72" s="1" t="n">
        <v>45034</v>
      </c>
      <c r="E72" s="1" t="n">
        <v>46317</v>
      </c>
      <c r="F72" t="inlineStr">
        <is>
          <t>NORRBOTTENS LÄN</t>
        </is>
      </c>
      <c r="G72" t="inlineStr">
        <is>
          <t>ARJEPLOG</t>
        </is>
      </c>
      <c r="H72" t="inlineStr">
        <is>
          <t>Övriga statliga verk och myndigheter</t>
        </is>
      </c>
      <c r="I72" t="n">
        <v>20.3</v>
      </c>
      <c r="J72" t="n">
        <v>0</v>
      </c>
      <c r="K72" t="n">
        <v>0</v>
      </c>
      <c r="L72" t="n">
        <v>0</v>
      </c>
      <c r="M72" t="n">
        <v>0</v>
      </c>
      <c r="N72" t="n">
        <v>0</v>
      </c>
      <c r="O72" t="n">
        <v>0</v>
      </c>
      <c r="P72" t="n">
        <v>0</v>
      </c>
      <c r="Q72" t="n">
        <v>0</v>
      </c>
      <c r="R72" t="n">
        <v>0</v>
      </c>
      <c r="S72" t="n">
        <v>0</v>
      </c>
      <c r="T72" t="n">
        <v>0</v>
      </c>
      <c r="U72" t="n">
        <v>0</v>
      </c>
      <c r="V72" s="2" t="inlineStr"/>
    </row>
    <row r="73" ht="15" customHeight="1">
      <c r="A73" t="inlineStr">
        <is>
          <t>A 59887-2025</t>
        </is>
      </c>
      <c r="B73" t="inlineStr">
        <is>
          <t>avverkningsanmälan</t>
        </is>
      </c>
      <c r="C73" t="inlineStr">
        <is>
          <t>Föryngringsavverkning</t>
        </is>
      </c>
      <c r="D73" s="1" t="n">
        <v>45993</v>
      </c>
      <c r="E73" s="1" t="n">
        <v>46317</v>
      </c>
      <c r="F73" t="inlineStr">
        <is>
          <t>NORRBOTTENS LÄN</t>
        </is>
      </c>
      <c r="G73" t="inlineStr">
        <is>
          <t>ARJEPLOG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12447-2025</t>
        </is>
      </c>
      <c r="B74" t="inlineStr">
        <is>
          <t>avverkningsanmälan</t>
        </is>
      </c>
      <c r="C74" t="inlineStr">
        <is>
          <t>Föryngringsavverkning</t>
        </is>
      </c>
      <c r="D74" s="1" t="n">
        <v>45730</v>
      </c>
      <c r="E74" s="1" t="n">
        <v>46317</v>
      </c>
      <c r="F74" t="inlineStr">
        <is>
          <t>NORRBOTTENS LÄN</t>
        </is>
      </c>
      <c r="G74" t="inlineStr">
        <is>
          <t>ARJEPLOG</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25239-2023</t>
        </is>
      </c>
      <c r="B75" t="inlineStr">
        <is>
          <t>avverkningsanmälan</t>
        </is>
      </c>
      <c r="C75" t="inlineStr">
        <is>
          <t>Föryngringsavverkning</t>
        </is>
      </c>
      <c r="D75" s="1" t="n">
        <v>45079</v>
      </c>
      <c r="E75" s="1" t="n">
        <v>46317</v>
      </c>
      <c r="F75" t="inlineStr">
        <is>
          <t>NORRBOTTENS LÄN</t>
        </is>
      </c>
      <c r="G75" t="inlineStr">
        <is>
          <t>ARJEPLOG</t>
        </is>
      </c>
      <c r="H75" t="inlineStr">
        <is>
          <t>Övriga statliga verk och myndigheter</t>
        </is>
      </c>
      <c r="I75" t="n">
        <v>7</v>
      </c>
      <c r="J75" t="n">
        <v>0</v>
      </c>
      <c r="K75" t="n">
        <v>0</v>
      </c>
      <c r="L75" t="n">
        <v>0</v>
      </c>
      <c r="M75" t="n">
        <v>0</v>
      </c>
      <c r="N75" t="n">
        <v>0</v>
      </c>
      <c r="O75" t="n">
        <v>0</v>
      </c>
      <c r="P75" t="n">
        <v>0</v>
      </c>
      <c r="Q75" t="n">
        <v>0</v>
      </c>
      <c r="R75" t="n">
        <v>0</v>
      </c>
      <c r="S75" t="n">
        <v>0</v>
      </c>
      <c r="T75" t="n">
        <v>0</v>
      </c>
      <c r="U75" t="n">
        <v>0</v>
      </c>
      <c r="V75" s="2" t="inlineStr"/>
    </row>
    <row r="76" ht="15" customHeight="1">
      <c r="A76" t="inlineStr">
        <is>
          <t>A 60767-2025</t>
        </is>
      </c>
      <c r="B76" t="inlineStr">
        <is>
          <t>avverkningsanmälan</t>
        </is>
      </c>
      <c r="C76" t="inlineStr">
        <is>
          <t>Föryngringsavverkning</t>
        </is>
      </c>
      <c r="D76" s="1" t="n">
        <v>45999</v>
      </c>
      <c r="E76" s="1" t="n">
        <v>46317</v>
      </c>
      <c r="F76" t="inlineStr">
        <is>
          <t>NORRBOTTENS LÄN</t>
        </is>
      </c>
      <c r="G76" t="inlineStr">
        <is>
          <t>ARJEPLOG</t>
        </is>
      </c>
      <c r="I76" t="n">
        <v>11.3</v>
      </c>
      <c r="J76" t="n">
        <v>0</v>
      </c>
      <c r="K76" t="n">
        <v>0</v>
      </c>
      <c r="L76" t="n">
        <v>0</v>
      </c>
      <c r="M76" t="n">
        <v>0</v>
      </c>
      <c r="N76" t="n">
        <v>0</v>
      </c>
      <c r="O76" t="n">
        <v>0</v>
      </c>
      <c r="P76" t="n">
        <v>0</v>
      </c>
      <c r="Q76" t="n">
        <v>0</v>
      </c>
      <c r="R76" t="n">
        <v>0</v>
      </c>
      <c r="S76" t="n">
        <v>0</v>
      </c>
      <c r="T76" t="n">
        <v>0</v>
      </c>
      <c r="U76" t="n">
        <v>0</v>
      </c>
      <c r="V76" s="2" t="inlineStr"/>
    </row>
    <row r="77" ht="15" customHeight="1">
      <c r="A77" t="inlineStr">
        <is>
          <t>A 60766-2025</t>
        </is>
      </c>
      <c r="B77" t="inlineStr">
        <is>
          <t>avverkningsanmälan</t>
        </is>
      </c>
      <c r="C77" t="inlineStr">
        <is>
          <t>Föryngringsavverkning</t>
        </is>
      </c>
      <c r="D77" s="1" t="n">
        <v>45999</v>
      </c>
      <c r="E77" s="1" t="n">
        <v>46317</v>
      </c>
      <c r="F77" t="inlineStr">
        <is>
          <t>NORRBOTTENS LÄN</t>
        </is>
      </c>
      <c r="G77" t="inlineStr">
        <is>
          <t>ARJEPLOG</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28354-2022</t>
        </is>
      </c>
      <c r="B78" t="inlineStr">
        <is>
          <t>avverkningsanmälan</t>
        </is>
      </c>
      <c r="C78" t="inlineStr">
        <is>
          <t>Avverkning för annat ändamål</t>
        </is>
      </c>
      <c r="D78" s="1" t="n">
        <v>44735</v>
      </c>
      <c r="E78" s="1" t="n">
        <v>46317</v>
      </c>
      <c r="F78" t="inlineStr">
        <is>
          <t>NORRBOTTENS LÄN</t>
        </is>
      </c>
      <c r="G78" t="inlineStr">
        <is>
          <t>ARJEPLOG</t>
        </is>
      </c>
      <c r="H78" t="inlineStr">
        <is>
          <t>Övriga statliga verk och myndigheter</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61729-2024</t>
        </is>
      </c>
      <c r="B79" t="inlineStr">
        <is>
          <t>avverkningsanmälan</t>
        </is>
      </c>
      <c r="C79" t="inlineStr">
        <is>
          <t>Avverkning för annat ändamål</t>
        </is>
      </c>
      <c r="D79" s="1" t="n">
        <v>45649</v>
      </c>
      <c r="E79" s="1" t="n">
        <v>46317</v>
      </c>
      <c r="F79" t="inlineStr">
        <is>
          <t>NORRBOTTENS LÄN</t>
        </is>
      </c>
      <c r="G79" t="inlineStr">
        <is>
          <t>ARJEPLOG</t>
        </is>
      </c>
      <c r="H79" t="inlineStr">
        <is>
          <t>Övriga statliga verk och myndigheter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58989-2024</t>
        </is>
      </c>
      <c r="B80" t="inlineStr">
        <is>
          <t>avverkningsanmälan</t>
        </is>
      </c>
      <c r="C80" t="inlineStr">
        <is>
          <t>Avverkning för annat ändamål</t>
        </is>
      </c>
      <c r="D80" s="1" t="n">
        <v>45636</v>
      </c>
      <c r="E80" s="1" t="n">
        <v>46317</v>
      </c>
      <c r="F80" t="inlineStr">
        <is>
          <t>NORRBOTTENS LÄN</t>
        </is>
      </c>
      <c r="G80" t="inlineStr">
        <is>
          <t>ARJEPLOG</t>
        </is>
      </c>
      <c r="H80" t="inlineStr">
        <is>
          <t>Sveaskog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45072-2023</t>
        </is>
      </c>
      <c r="B81" t="inlineStr">
        <is>
          <t>avverkningsanmälan</t>
        </is>
      </c>
      <c r="C81" t="inlineStr">
        <is>
          <t>Föryngringsavverkning</t>
        </is>
      </c>
      <c r="D81" s="1" t="n">
        <v>45187</v>
      </c>
      <c r="E81" s="1" t="n">
        <v>46317</v>
      </c>
      <c r="F81" t="inlineStr">
        <is>
          <t>NORRBOTTENS LÄN</t>
        </is>
      </c>
      <c r="G81" t="inlineStr">
        <is>
          <t>ARJEPLOG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25270-2023</t>
        </is>
      </c>
      <c r="B82" t="inlineStr">
        <is>
          <t>avverkningsanmälan</t>
        </is>
      </c>
      <c r="C82" t="inlineStr">
        <is>
          <t>Föryngringsavverkning</t>
        </is>
      </c>
      <c r="D82" s="1" t="n">
        <v>45079</v>
      </c>
      <c r="E82" s="1" t="n">
        <v>46317</v>
      </c>
      <c r="F82" t="inlineStr">
        <is>
          <t>NORRBOTTENS LÄN</t>
        </is>
      </c>
      <c r="G82" t="inlineStr">
        <is>
          <t>ARJEPLOG</t>
        </is>
      </c>
      <c r="H82" t="inlineStr">
        <is>
          <t>Övriga statliga verk och myndigheter</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52581-2022</t>
        </is>
      </c>
      <c r="B83" t="inlineStr">
        <is>
          <t>avverkningsanmälan</t>
        </is>
      </c>
      <c r="C83" t="inlineStr">
        <is>
          <t>Föryngringsavverkning</t>
        </is>
      </c>
      <c r="D83" s="1" t="n">
        <v>44874</v>
      </c>
      <c r="E83" s="1" t="n">
        <v>46317</v>
      </c>
      <c r="F83" t="inlineStr">
        <is>
          <t>NORRBOTTENS LÄN</t>
        </is>
      </c>
      <c r="G83" t="inlineStr">
        <is>
          <t>ARJEPLOG</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3006-2024</t>
        </is>
      </c>
      <c r="B84" t="inlineStr">
        <is>
          <t>avverkningsanmälan</t>
        </is>
      </c>
      <c r="C84" t="inlineStr">
        <is>
          <t>Föryngringsavverkning</t>
        </is>
      </c>
      <c r="D84" s="1" t="n">
        <v>45315</v>
      </c>
      <c r="E84" s="1" t="n">
        <v>46317</v>
      </c>
      <c r="F84" t="inlineStr">
        <is>
          <t>NORRBOTTENS LÄN</t>
        </is>
      </c>
      <c r="G84" t="inlineStr">
        <is>
          <t>ARJEPLOG</t>
        </is>
      </c>
      <c r="I84" t="n">
        <v>9.1</v>
      </c>
      <c r="J84" t="n">
        <v>0</v>
      </c>
      <c r="K84" t="n">
        <v>0</v>
      </c>
      <c r="L84" t="n">
        <v>0</v>
      </c>
      <c r="M84" t="n">
        <v>0</v>
      </c>
      <c r="N84" t="n">
        <v>0</v>
      </c>
      <c r="O84" t="n">
        <v>0</v>
      </c>
      <c r="P84" t="n">
        <v>0</v>
      </c>
      <c r="Q84" t="n">
        <v>0</v>
      </c>
      <c r="R84" t="n">
        <v>0</v>
      </c>
      <c r="S84" t="n">
        <v>0</v>
      </c>
      <c r="T84" t="n">
        <v>0</v>
      </c>
      <c r="U84" t="n">
        <v>0</v>
      </c>
      <c r="V84" s="2" t="inlineStr"/>
    </row>
    <row r="85" ht="15" customHeight="1">
      <c r="A85" t="inlineStr">
        <is>
          <t>A 25440-2024</t>
        </is>
      </c>
      <c r="B85" t="inlineStr">
        <is>
          <t>avverkningsanmälan</t>
        </is>
      </c>
      <c r="C85" t="inlineStr">
        <is>
          <t>Föryngringsavverkning</t>
        </is>
      </c>
      <c r="D85" s="1" t="n">
        <v>45463</v>
      </c>
      <c r="E85" s="1" t="n">
        <v>46317</v>
      </c>
      <c r="F85" t="inlineStr">
        <is>
          <t>NORRBOTTENS LÄN</t>
        </is>
      </c>
      <c r="G85" t="inlineStr">
        <is>
          <t>ARJEPLOG</t>
        </is>
      </c>
      <c r="H85" t="inlineStr">
        <is>
          <t>Allmännings- och besparingsskogar</t>
        </is>
      </c>
      <c r="I85" t="n">
        <v>30.7</v>
      </c>
      <c r="J85" t="n">
        <v>0</v>
      </c>
      <c r="K85" t="n">
        <v>0</v>
      </c>
      <c r="L85" t="n">
        <v>0</v>
      </c>
      <c r="M85" t="n">
        <v>0</v>
      </c>
      <c r="N85" t="n">
        <v>0</v>
      </c>
      <c r="O85" t="n">
        <v>0</v>
      </c>
      <c r="P85" t="n">
        <v>0</v>
      </c>
      <c r="Q85" t="n">
        <v>0</v>
      </c>
      <c r="R85" t="n">
        <v>0</v>
      </c>
      <c r="S85" t="n">
        <v>0</v>
      </c>
      <c r="T85" t="n">
        <v>0</v>
      </c>
      <c r="U85" t="n">
        <v>0</v>
      </c>
      <c r="V85" s="2" t="inlineStr"/>
    </row>
    <row r="86" ht="15" customHeight="1">
      <c r="A86" t="inlineStr">
        <is>
          <t>A 26486-2024</t>
        </is>
      </c>
      <c r="B86" t="inlineStr">
        <is>
          <t>avverkningsanmälan</t>
        </is>
      </c>
      <c r="C86" t="inlineStr">
        <is>
          <t>Föryngringsavverkning</t>
        </is>
      </c>
      <c r="D86" s="1" t="n">
        <v>45469</v>
      </c>
      <c r="E86" s="1" t="n">
        <v>46317</v>
      </c>
      <c r="F86" t="inlineStr">
        <is>
          <t>NORRBOTTENS LÄN</t>
        </is>
      </c>
      <c r="G86" t="inlineStr">
        <is>
          <t>ARJEPLOG</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20319-2026</t>
        </is>
      </c>
      <c r="B87" t="inlineStr">
        <is>
          <t>avverkningsanmälan</t>
        </is>
      </c>
      <c r="C87" t="inlineStr">
        <is>
          <t>Föryngringsavverkning</t>
        </is>
      </c>
      <c r="D87" s="1" t="n">
        <v>46139</v>
      </c>
      <c r="E87" s="1" t="n">
        <v>46317</v>
      </c>
      <c r="F87" t="inlineStr">
        <is>
          <t>NORRBOTTENS LÄN</t>
        </is>
      </c>
      <c r="G87" t="inlineStr">
        <is>
          <t>ARJEPLOG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20326-2026</t>
        </is>
      </c>
      <c r="B88" t="inlineStr">
        <is>
          <t>avverkningsanmälan</t>
        </is>
      </c>
      <c r="C88" t="inlineStr">
        <is>
          <t>Föryngringsavverkning</t>
        </is>
      </c>
      <c r="D88" s="1" t="n">
        <v>46139</v>
      </c>
      <c r="E88" s="1" t="n">
        <v>46317</v>
      </c>
      <c r="F88" t="inlineStr">
        <is>
          <t>NORRBOTTENS LÄN</t>
        </is>
      </c>
      <c r="G88" t="inlineStr">
        <is>
          <t>ARJEPLOG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26472-2024</t>
        </is>
      </c>
      <c r="B89" t="inlineStr">
        <is>
          <t>avverkningsanmälan</t>
        </is>
      </c>
      <c r="C89" t="inlineStr">
        <is>
          <t>Föryngringsavverkning</t>
        </is>
      </c>
      <c r="D89" s="1" t="n">
        <v>45469</v>
      </c>
      <c r="E89" s="1" t="n">
        <v>46317</v>
      </c>
      <c r="F89" t="inlineStr">
        <is>
          <t>NORRBOTTENS LÄN</t>
        </is>
      </c>
      <c r="G89" t="inlineStr">
        <is>
          <t>ARJEPLOG</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56754-2024</t>
        </is>
      </c>
      <c r="B90" t="inlineStr">
        <is>
          <t>avverkningsanmälan</t>
        </is>
      </c>
      <c r="C90" t="inlineStr">
        <is>
          <t>Föryngringsavverkning</t>
        </is>
      </c>
      <c r="D90" s="1" t="n">
        <v>45625</v>
      </c>
      <c r="E90" s="1" t="n">
        <v>46317</v>
      </c>
      <c r="F90" t="inlineStr">
        <is>
          <t>NORRBOTTENS LÄN</t>
        </is>
      </c>
      <c r="G90" t="inlineStr">
        <is>
          <t>ARJEPLOG</t>
        </is>
      </c>
      <c r="I90" t="n">
        <v>11.5</v>
      </c>
      <c r="J90" t="n">
        <v>0</v>
      </c>
      <c r="K90" t="n">
        <v>0</v>
      </c>
      <c r="L90" t="n">
        <v>0</v>
      </c>
      <c r="M90" t="n">
        <v>0</v>
      </c>
      <c r="N90" t="n">
        <v>0</v>
      </c>
      <c r="O90" t="n">
        <v>0</v>
      </c>
      <c r="P90" t="n">
        <v>0</v>
      </c>
      <c r="Q90" t="n">
        <v>0</v>
      </c>
      <c r="R90" t="n">
        <v>0</v>
      </c>
      <c r="S90" t="n">
        <v>0</v>
      </c>
      <c r="T90" t="n">
        <v>0</v>
      </c>
      <c r="U90" t="n">
        <v>0</v>
      </c>
      <c r="V90" s="2" t="inlineStr"/>
    </row>
    <row r="91" ht="15" customHeight="1">
      <c r="A91" t="inlineStr">
        <is>
          <t>A 56800-2024</t>
        </is>
      </c>
      <c r="B91" t="inlineStr">
        <is>
          <t>avverkningsanmälan</t>
        </is>
      </c>
      <c r="C91" t="inlineStr">
        <is>
          <t>Föryngringsavverkning</t>
        </is>
      </c>
      <c r="D91" s="1" t="n">
        <v>45625</v>
      </c>
      <c r="E91" s="1" t="n">
        <v>46317</v>
      </c>
      <c r="F91" t="inlineStr">
        <is>
          <t>NORRBOTTENS LÄN</t>
        </is>
      </c>
      <c r="G91" t="inlineStr">
        <is>
          <t>ARJEPLOG</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27092-2022</t>
        </is>
      </c>
      <c r="B92" t="inlineStr">
        <is>
          <t>avverkningsanmälan</t>
        </is>
      </c>
      <c r="C92" t="inlineStr">
        <is>
          <t>Föryngringsavverkning</t>
        </is>
      </c>
      <c r="D92" s="1" t="n">
        <v>44741</v>
      </c>
      <c r="E92" s="1" t="n">
        <v>46317</v>
      </c>
      <c r="F92" t="inlineStr">
        <is>
          <t>NORRBOTTENS LÄN</t>
        </is>
      </c>
      <c r="G92" t="inlineStr">
        <is>
          <t>ARJEPLOG</t>
        </is>
      </c>
      <c r="I92" t="n">
        <v>15.6</v>
      </c>
      <c r="J92" t="n">
        <v>0</v>
      </c>
      <c r="K92" t="n">
        <v>0</v>
      </c>
      <c r="L92" t="n">
        <v>0</v>
      </c>
      <c r="M92" t="n">
        <v>0</v>
      </c>
      <c r="N92" t="n">
        <v>0</v>
      </c>
      <c r="O92" t="n">
        <v>0</v>
      </c>
      <c r="P92" t="n">
        <v>0</v>
      </c>
      <c r="Q92" t="n">
        <v>0</v>
      </c>
      <c r="R92" t="n">
        <v>0</v>
      </c>
      <c r="S92" t="n">
        <v>0</v>
      </c>
      <c r="T92" t="n">
        <v>0</v>
      </c>
      <c r="U92" t="n">
        <v>0</v>
      </c>
      <c r="V92" s="2" t="inlineStr"/>
    </row>
    <row r="93" ht="15" customHeight="1">
      <c r="A93" t="inlineStr">
        <is>
          <t>A 56782-2024</t>
        </is>
      </c>
      <c r="B93" t="inlineStr">
        <is>
          <t>avverkningsanmälan</t>
        </is>
      </c>
      <c r="C93" t="inlineStr">
        <is>
          <t>Föryngringsavverkning</t>
        </is>
      </c>
      <c r="D93" s="1" t="n">
        <v>45625</v>
      </c>
      <c r="E93" s="1" t="n">
        <v>46317</v>
      </c>
      <c r="F93" t="inlineStr">
        <is>
          <t>NORRBOTTENS LÄN</t>
        </is>
      </c>
      <c r="G93" t="inlineStr">
        <is>
          <t>ARJEPLOG</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56794-2024</t>
        </is>
      </c>
      <c r="B94" t="inlineStr">
        <is>
          <t>avverkningsanmälan</t>
        </is>
      </c>
      <c r="C94" t="inlineStr">
        <is>
          <t>Föryngringsavverkning</t>
        </is>
      </c>
      <c r="D94" s="1" t="n">
        <v>45625</v>
      </c>
      <c r="E94" s="1" t="n">
        <v>46317</v>
      </c>
      <c r="F94" t="inlineStr">
        <is>
          <t>NORRBOTTENS LÄN</t>
        </is>
      </c>
      <c r="G94" t="inlineStr">
        <is>
          <t>ARJEPLOG</t>
        </is>
      </c>
      <c r="I94" t="n">
        <v>7.5</v>
      </c>
      <c r="J94" t="n">
        <v>0</v>
      </c>
      <c r="K94" t="n">
        <v>0</v>
      </c>
      <c r="L94" t="n">
        <v>0</v>
      </c>
      <c r="M94" t="n">
        <v>0</v>
      </c>
      <c r="N94" t="n">
        <v>0</v>
      </c>
      <c r="O94" t="n">
        <v>0</v>
      </c>
      <c r="P94" t="n">
        <v>0</v>
      </c>
      <c r="Q94" t="n">
        <v>0</v>
      </c>
      <c r="R94" t="n">
        <v>0</v>
      </c>
      <c r="S94" t="n">
        <v>0</v>
      </c>
      <c r="T94" t="n">
        <v>0</v>
      </c>
      <c r="U94" t="n">
        <v>0</v>
      </c>
      <c r="V94" s="2" t="inlineStr"/>
    </row>
    <row r="95" ht="15" customHeight="1">
      <c r="A95" t="inlineStr">
        <is>
          <t>A 23335-2026</t>
        </is>
      </c>
      <c r="B95" t="inlineStr">
        <is>
          <t>avverkningsanmälan</t>
        </is>
      </c>
      <c r="C95" t="inlineStr">
        <is>
          <t>Föryngringsavverkning</t>
        </is>
      </c>
      <c r="D95" s="1" t="n">
        <v>46162</v>
      </c>
      <c r="E95" s="1" t="n">
        <v>46317</v>
      </c>
      <c r="F95" t="inlineStr">
        <is>
          <t>NORRBOTTENS LÄN</t>
        </is>
      </c>
      <c r="G95" t="inlineStr">
        <is>
          <t>ARJEPLOG</t>
        </is>
      </c>
      <c r="I95" t="n">
        <v>7.7</v>
      </c>
      <c r="J95" t="n">
        <v>0</v>
      </c>
      <c r="K95" t="n">
        <v>0</v>
      </c>
      <c r="L95" t="n">
        <v>0</v>
      </c>
      <c r="M95" t="n">
        <v>0</v>
      </c>
      <c r="N95" t="n">
        <v>0</v>
      </c>
      <c r="O95" t="n">
        <v>0</v>
      </c>
      <c r="P95" t="n">
        <v>0</v>
      </c>
      <c r="Q95" t="n">
        <v>0</v>
      </c>
      <c r="R95" t="n">
        <v>0</v>
      </c>
      <c r="S95" t="n">
        <v>0</v>
      </c>
      <c r="T95" t="n">
        <v>0</v>
      </c>
      <c r="U95" t="n">
        <v>0</v>
      </c>
      <c r="V95" s="2" t="inlineStr"/>
    </row>
    <row r="96" ht="15" customHeight="1">
      <c r="A96" t="inlineStr">
        <is>
          <t>A 29674-2025</t>
        </is>
      </c>
      <c r="B96" t="inlineStr">
        <is>
          <t>avverkningsanmälan</t>
        </is>
      </c>
      <c r="C96" t="inlineStr">
        <is>
          <t>Föryngringsavverkning</t>
        </is>
      </c>
      <c r="D96" s="1" t="n">
        <v>45825</v>
      </c>
      <c r="E96" s="1" t="n">
        <v>46317</v>
      </c>
      <c r="F96" t="inlineStr">
        <is>
          <t>NORRBOTTENS LÄN</t>
        </is>
      </c>
      <c r="G96" t="inlineStr">
        <is>
          <t>ARJEPLOG</t>
        </is>
      </c>
      <c r="H96" t="inlineStr">
        <is>
          <t>Allmännings- och besparingsskogar</t>
        </is>
      </c>
      <c r="I96" t="n">
        <v>25.1</v>
      </c>
      <c r="J96" t="n">
        <v>0</v>
      </c>
      <c r="K96" t="n">
        <v>0</v>
      </c>
      <c r="L96" t="n">
        <v>0</v>
      </c>
      <c r="M96" t="n">
        <v>0</v>
      </c>
      <c r="N96" t="n">
        <v>0</v>
      </c>
      <c r="O96" t="n">
        <v>0</v>
      </c>
      <c r="P96" t="n">
        <v>0</v>
      </c>
      <c r="Q96" t="n">
        <v>0</v>
      </c>
      <c r="R96" t="n">
        <v>0</v>
      </c>
      <c r="S96" t="n">
        <v>0</v>
      </c>
      <c r="T96" t="n">
        <v>0</v>
      </c>
      <c r="U96" t="n">
        <v>0</v>
      </c>
      <c r="V96" s="2" t="inlineStr"/>
    </row>
    <row r="97" ht="15" customHeight="1">
      <c r="A97" t="inlineStr">
        <is>
          <t>A 23330-2026</t>
        </is>
      </c>
      <c r="B97" t="inlineStr">
        <is>
          <t>avverkningsanmälan</t>
        </is>
      </c>
      <c r="C97" t="inlineStr">
        <is>
          <t>Föryngringsavverkning</t>
        </is>
      </c>
      <c r="D97" s="1" t="n">
        <v>46162</v>
      </c>
      <c r="E97" s="1" t="n">
        <v>46317</v>
      </c>
      <c r="F97" t="inlineStr">
        <is>
          <t>NORRBOTTENS LÄN</t>
        </is>
      </c>
      <c r="G97" t="inlineStr">
        <is>
          <t>ARJEPLOG</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12409-2025</t>
        </is>
      </c>
      <c r="B98" t="inlineStr">
        <is>
          <t>avverkningsanmälan</t>
        </is>
      </c>
      <c r="C98" t="inlineStr">
        <is>
          <t>Föryngringsavverkning</t>
        </is>
      </c>
      <c r="D98" s="1" t="n">
        <v>45730</v>
      </c>
      <c r="E98" s="1" t="n">
        <v>46317</v>
      </c>
      <c r="F98" t="inlineStr">
        <is>
          <t>NORRBOTTENS LÄN</t>
        </is>
      </c>
      <c r="G98" t="inlineStr">
        <is>
          <t>ARJEPLOG</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26811-2022</t>
        </is>
      </c>
      <c r="B99" t="inlineStr">
        <is>
          <t>avverkningsanmälan</t>
        </is>
      </c>
      <c r="C99" t="inlineStr">
        <is>
          <t>Avverkning för annat ändamål</t>
        </is>
      </c>
      <c r="D99" s="1" t="n">
        <v>44735</v>
      </c>
      <c r="E99" s="1" t="n">
        <v>46317</v>
      </c>
      <c r="F99" t="inlineStr">
        <is>
          <t>NORRBOTTENS LÄN</t>
        </is>
      </c>
      <c r="G99" t="inlineStr">
        <is>
          <t>ARJEPLOG</t>
        </is>
      </c>
      <c r="H99" t="inlineStr">
        <is>
          <t>Övriga statliga verk och myndigheter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26479-2024</t>
        </is>
      </c>
      <c r="B100" t="inlineStr">
        <is>
          <t>avverkningsanmälan</t>
        </is>
      </c>
      <c r="C100" t="inlineStr">
        <is>
          <t>Föryngringsavverkning</t>
        </is>
      </c>
      <c r="D100" s="1" t="n">
        <v>45468</v>
      </c>
      <c r="E100" s="1" t="n">
        <v>46317</v>
      </c>
      <c r="F100" t="inlineStr">
        <is>
          <t>NORRBOTTENS LÄN</t>
        </is>
      </c>
      <c r="G100" t="inlineStr">
        <is>
          <t>ARJEPLOG</t>
        </is>
      </c>
      <c r="I100" t="n">
        <v>6.9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53822-2024</t>
        </is>
      </c>
      <c r="B101" t="inlineStr">
        <is>
          <t>avverkningsanmälan</t>
        </is>
      </c>
      <c r="C101" t="inlineStr">
        <is>
          <t>Föryngringsavverkning</t>
        </is>
      </c>
      <c r="D101" s="1" t="n">
        <v>45614</v>
      </c>
      <c r="E101" s="1" t="n">
        <v>46317</v>
      </c>
      <c r="F101" t="inlineStr">
        <is>
          <t>NORRBOTTENS LÄN</t>
        </is>
      </c>
      <c r="G101" t="inlineStr">
        <is>
          <t>ARJEPLOG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26048-2026</t>
        </is>
      </c>
      <c r="B102" t="inlineStr">
        <is>
          <t>avverkningsanmälan</t>
        </is>
      </c>
      <c r="C102" t="inlineStr">
        <is>
          <t>Föryngringsavverkning</t>
        </is>
      </c>
      <c r="D102" s="1" t="n">
        <v>46181</v>
      </c>
      <c r="E102" s="1" t="n">
        <v>46317</v>
      </c>
      <c r="F102" t="inlineStr">
        <is>
          <t>NORRBOTTENS LÄN</t>
        </is>
      </c>
      <c r="G102" t="inlineStr">
        <is>
          <t>ARJEPLOG</t>
        </is>
      </c>
      <c r="I102" t="n">
        <v>16.9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44218-2023</t>
        </is>
      </c>
      <c r="B103" t="inlineStr">
        <is>
          <t>avverkningsanmälan</t>
        </is>
      </c>
      <c r="C103" t="inlineStr">
        <is>
          <t>Avverkning för annat ändamål</t>
        </is>
      </c>
      <c r="D103" s="1" t="n">
        <v>45183</v>
      </c>
      <c r="E103" s="1" t="n">
        <v>46317</v>
      </c>
      <c r="F103" t="inlineStr">
        <is>
          <t>NORRBOTTENS LÄN</t>
        </is>
      </c>
      <c r="G103" t="inlineStr">
        <is>
          <t>ARJEPLOG</t>
        </is>
      </c>
      <c r="H103" t="inlineStr">
        <is>
          <t>Allmännings- och besparingsskogar</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64840-2023</t>
        </is>
      </c>
      <c r="B104" t="inlineStr">
        <is>
          <t>avverkningsanmälan</t>
        </is>
      </c>
      <c r="C104" t="inlineStr">
        <is>
          <t>Föryngringsavverkning</t>
        </is>
      </c>
      <c r="D104" s="1" t="n">
        <v>45281</v>
      </c>
      <c r="E104" s="1" t="n">
        <v>46317</v>
      </c>
      <c r="F104" t="inlineStr">
        <is>
          <t>NORRBOTTENS LÄN</t>
        </is>
      </c>
      <c r="G104" t="inlineStr">
        <is>
          <t>ARJEPLOG</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27102-2026</t>
        </is>
      </c>
      <c r="B105" t="inlineStr">
        <is>
          <t>avverkningsanmälan</t>
        </is>
      </c>
      <c r="C105" t="inlineStr">
        <is>
          <t>Avverkning för annat ändamål</t>
        </is>
      </c>
      <c r="D105" s="1" t="n">
        <v>46188</v>
      </c>
      <c r="E105" s="1" t="n">
        <v>46317</v>
      </c>
      <c r="F105" t="inlineStr">
        <is>
          <t>NORRBOTTENS LÄN</t>
        </is>
      </c>
      <c r="G105" t="inlineStr">
        <is>
          <t>ARJEPLOG</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64816-2023</t>
        </is>
      </c>
      <c r="B106" t="inlineStr">
        <is>
          <t>avverkningsanmälan</t>
        </is>
      </c>
      <c r="C106" t="inlineStr">
        <is>
          <t>Föryngringsavverkning</t>
        </is>
      </c>
      <c r="D106" s="1" t="n">
        <v>45281</v>
      </c>
      <c r="E106" s="1" t="n">
        <v>46317</v>
      </c>
      <c r="F106" t="inlineStr">
        <is>
          <t>NORRBOTTENS LÄN</t>
        </is>
      </c>
      <c r="G106" t="inlineStr">
        <is>
          <t>ARJEPLOG</t>
        </is>
      </c>
      <c r="I106" t="n">
        <v>13.4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28560-2026</t>
        </is>
      </c>
      <c r="B107" t="inlineStr">
        <is>
          <t>avverkningsanmälan</t>
        </is>
      </c>
      <c r="C107" t="inlineStr">
        <is>
          <t>Föryngringsavverkning</t>
        </is>
      </c>
      <c r="D107" s="1" t="n">
        <v>46197</v>
      </c>
      <c r="E107" s="1" t="n">
        <v>46317</v>
      </c>
      <c r="F107" t="inlineStr">
        <is>
          <t>NORRBOTTENS LÄN</t>
        </is>
      </c>
      <c r="G107" t="inlineStr">
        <is>
          <t>ARJEPLOG</t>
        </is>
      </c>
      <c r="H107" t="inlineStr">
        <is>
          <t>Allmännings- och besparingsskogar</t>
        </is>
      </c>
      <c r="I107" t="n">
        <v>14.2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28799-2026</t>
        </is>
      </c>
      <c r="B108" t="inlineStr">
        <is>
          <t>avverkningsanmälan</t>
        </is>
      </c>
      <c r="C108" t="inlineStr">
        <is>
          <t>Föryngringsavverkning</t>
        </is>
      </c>
      <c r="D108" s="1" t="n">
        <v>46198</v>
      </c>
      <c r="E108" s="1" t="n">
        <v>46317</v>
      </c>
      <c r="F108" t="inlineStr">
        <is>
          <t>NORRBOTTENS LÄN</t>
        </is>
      </c>
      <c r="G108" t="inlineStr">
        <is>
          <t>ARJEPLOG</t>
        </is>
      </c>
      <c r="H108" t="inlineStr">
        <is>
          <t>Allmännings- och besparingsskogar</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46910-2024</t>
        </is>
      </c>
      <c r="B109" t="inlineStr">
        <is>
          <t>avverkningsanmälan</t>
        </is>
      </c>
      <c r="C109" t="inlineStr">
        <is>
          <t>Föryngringsavverkning</t>
        </is>
      </c>
      <c r="D109" s="1" t="n">
        <v>45583</v>
      </c>
      <c r="E109" s="1" t="n">
        <v>46317</v>
      </c>
      <c r="F109" t="inlineStr">
        <is>
          <t>NORRBOTTENS LÄN</t>
        </is>
      </c>
      <c r="G109" t="inlineStr">
        <is>
          <t>ARJEPLOG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58370-2023</t>
        </is>
      </c>
      <c r="B110" t="inlineStr">
        <is>
          <t>avverkningsanmälan</t>
        </is>
      </c>
      <c r="C110" t="inlineStr">
        <is>
          <t>Avverkning för att bevara och utveckla /försöksver</t>
        </is>
      </c>
      <c r="D110" s="1" t="n">
        <v>45250</v>
      </c>
      <c r="E110" s="1" t="n">
        <v>46317</v>
      </c>
      <c r="F110" t="inlineStr">
        <is>
          <t>NORRBOTTENS LÄN</t>
        </is>
      </c>
      <c r="G110" t="inlineStr">
        <is>
          <t>ARJEPLOG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27836-2026</t>
        </is>
      </c>
      <c r="B111" t="inlineStr">
        <is>
          <t>avverkningsanmälan</t>
        </is>
      </c>
      <c r="C111" t="inlineStr">
        <is>
          <t>Avverkning för annat ändamål</t>
        </is>
      </c>
      <c r="D111" s="1" t="n">
        <v>46189</v>
      </c>
      <c r="E111" s="1" t="n">
        <v>46317</v>
      </c>
      <c r="F111" t="inlineStr">
        <is>
          <t>NORRBOTTENS LÄN</t>
        </is>
      </c>
      <c r="G111" t="inlineStr">
        <is>
          <t>ARJEPLOG</t>
        </is>
      </c>
      <c r="H111" t="inlineStr">
        <is>
          <t>Sveaskog</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28532-2026</t>
        </is>
      </c>
      <c r="B112" t="inlineStr">
        <is>
          <t>avverkningsanmälan</t>
        </is>
      </c>
      <c r="C112" t="inlineStr">
        <is>
          <t>Avverkning för annat ändamål</t>
        </is>
      </c>
      <c r="D112" s="1" t="n">
        <v>46197</v>
      </c>
      <c r="E112" s="1" t="n">
        <v>46317</v>
      </c>
      <c r="F112" t="inlineStr">
        <is>
          <t>NORRBOTTENS LÄN</t>
        </is>
      </c>
      <c r="G112" t="inlineStr">
        <is>
          <t>ARJEPLOG</t>
        </is>
      </c>
      <c r="H112" t="inlineStr">
        <is>
          <t>Allmännings- och besparingsskogar</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390-2026</t>
        </is>
      </c>
      <c r="B113" t="inlineStr">
        <is>
          <t>avverkningsanmälan</t>
        </is>
      </c>
      <c r="C113" t="inlineStr">
        <is>
          <t>Föryngringsavverkning</t>
        </is>
      </c>
      <c r="D113" s="1" t="n">
        <v>46028</v>
      </c>
      <c r="E113" s="1" t="n">
        <v>46317</v>
      </c>
      <c r="F113" t="inlineStr">
        <is>
          <t>NORRBOTTENS LÄN</t>
        </is>
      </c>
      <c r="G113" t="inlineStr">
        <is>
          <t>ARJEPLOG</t>
        </is>
      </c>
      <c r="I113" t="n">
        <v>19.5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55266-2024</t>
        </is>
      </c>
      <c r="B114" t="inlineStr">
        <is>
          <t>avverkningsanmälan</t>
        </is>
      </c>
      <c r="C114" t="inlineStr">
        <is>
          <t>Föryngringsavverkning</t>
        </is>
      </c>
      <c r="D114" s="1" t="n">
        <v>45621</v>
      </c>
      <c r="E114" s="1" t="n">
        <v>46317</v>
      </c>
      <c r="F114" t="inlineStr">
        <is>
          <t>NORRBOTTENS LÄN</t>
        </is>
      </c>
      <c r="G114" t="inlineStr">
        <is>
          <t>ARJEPLOG</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20789-2022</t>
        </is>
      </c>
      <c r="B115" t="inlineStr">
        <is>
          <t>avverkningsanmälan</t>
        </is>
      </c>
      <c r="C115" t="inlineStr">
        <is>
          <t>Föryngringsavverkning</t>
        </is>
      </c>
      <c r="D115" s="1" t="n">
        <v>44701</v>
      </c>
      <c r="E115" s="1" t="n">
        <v>46317</v>
      </c>
      <c r="F115" t="inlineStr">
        <is>
          <t>NORRBOTTENS LÄN</t>
        </is>
      </c>
      <c r="G115" t="inlineStr">
        <is>
          <t>ARJEPLOG</t>
        </is>
      </c>
      <c r="I115" t="n">
        <v>20.3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39456-2026</t>
        </is>
      </c>
      <c r="B116" t="inlineStr">
        <is>
          <t>avverkningsanmälan</t>
        </is>
      </c>
      <c r="C116" t="inlineStr">
        <is>
          <t>Föryngringsavverkning</t>
        </is>
      </c>
      <c r="D116" s="1" t="n">
        <v>46288</v>
      </c>
      <c r="E116" s="1" t="n">
        <v>46317</v>
      </c>
      <c r="F116" t="inlineStr">
        <is>
          <t>NORRBOTTENS LÄN</t>
        </is>
      </c>
      <c r="G116" t="inlineStr">
        <is>
          <t>ARJEPLOG</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20322-2026</t>
        </is>
      </c>
      <c r="B117" t="inlineStr">
        <is>
          <t>avverkningsanmälan</t>
        </is>
      </c>
      <c r="C117" t="inlineStr">
        <is>
          <t>Föryngringsavverkning</t>
        </is>
      </c>
      <c r="D117" s="1" t="n">
        <v>46139</v>
      </c>
      <c r="E117" s="1" t="n">
        <v>46317</v>
      </c>
      <c r="F117" t="inlineStr">
        <is>
          <t>NORRBOTTENS LÄN</t>
        </is>
      </c>
      <c r="G117" t="inlineStr">
        <is>
          <t>ARJEPLOG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42274-2022</t>
        </is>
      </c>
      <c r="B118" t="inlineStr">
        <is>
          <t>avverkningsanmälan</t>
        </is>
      </c>
      <c r="C118" t="inlineStr">
        <is>
          <t>Föryngringsavverkning</t>
        </is>
      </c>
      <c r="D118" s="1" t="n">
        <v>44830</v>
      </c>
      <c r="E118" s="1" t="n">
        <v>46317</v>
      </c>
      <c r="F118" t="inlineStr">
        <is>
          <t>NORRBOTTENS LÄN</t>
        </is>
      </c>
      <c r="G118" t="inlineStr">
        <is>
          <t>ARJEPLOG</t>
        </is>
      </c>
      <c r="H118" t="inlineStr">
        <is>
          <t>SCA</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33993-2026</t>
        </is>
      </c>
      <c r="B119" t="inlineStr">
        <is>
          <t>avverkningsanmälan</t>
        </is>
      </c>
      <c r="C119" t="inlineStr">
        <is>
          <t>Avverkning för annat ändamål</t>
        </is>
      </c>
      <c r="D119" s="1" t="n">
        <v>46252</v>
      </c>
      <c r="E119" s="1" t="n">
        <v>46317</v>
      </c>
      <c r="F119" t="inlineStr">
        <is>
          <t>NORRBOTTENS LÄN</t>
        </is>
      </c>
      <c r="G119" t="inlineStr">
        <is>
          <t>ARJEPLOG</t>
        </is>
      </c>
      <c r="H119" t="inlineStr">
        <is>
          <t>Sveaskog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41717-2026</t>
        </is>
      </c>
      <c r="B120" t="inlineStr">
        <is>
          <t>avverkningsanmälan</t>
        </is>
      </c>
      <c r="C120" t="inlineStr">
        <is>
          <t>Föryngringsavverkning</t>
        </is>
      </c>
      <c r="D120" s="1" t="n">
        <v>46302</v>
      </c>
      <c r="E120" s="1" t="n">
        <v>46317</v>
      </c>
      <c r="F120" t="inlineStr">
        <is>
          <t>NORRBOTTENS LÄN</t>
        </is>
      </c>
      <c r="G120" t="inlineStr">
        <is>
          <t>ARJEPLOG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41587-2026</t>
        </is>
      </c>
      <c r="B121" t="inlineStr">
        <is>
          <t>avverkningsanmälan</t>
        </is>
      </c>
      <c r="C121" t="inlineStr">
        <is>
          <t>Föryngringsavverkning</t>
        </is>
      </c>
      <c r="D121" s="1" t="n">
        <v>46302</v>
      </c>
      <c r="E121" s="1" t="n">
        <v>46317</v>
      </c>
      <c r="F121" t="inlineStr">
        <is>
          <t>NORRBOTTENS LÄN</t>
        </is>
      </c>
      <c r="G121" t="inlineStr">
        <is>
          <t>ARJEPLOG</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38823-2026</t>
        </is>
      </c>
      <c r="B122" t="inlineStr">
        <is>
          <t>avverkningsanmälan</t>
        </is>
      </c>
      <c r="C122" t="inlineStr">
        <is>
          <t>Avverkning för annat ändamål</t>
        </is>
      </c>
      <c r="D122" s="1" t="n">
        <v>46286</v>
      </c>
      <c r="E122" s="1" t="n">
        <v>46317</v>
      </c>
      <c r="F122" t="inlineStr">
        <is>
          <t>NORRBOTTENS LÄN</t>
        </is>
      </c>
      <c r="G122" t="inlineStr">
        <is>
          <t>ARJEPLOG</t>
        </is>
      </c>
      <c r="H122" t="inlineStr">
        <is>
          <t>Kyrkan</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42393-2026</t>
        </is>
      </c>
      <c r="B123" t="inlineStr">
        <is>
          <t>avverkningsanmälan</t>
        </is>
      </c>
      <c r="C123" t="inlineStr">
        <is>
          <t>Avverkning för annat ändamål</t>
        </is>
      </c>
      <c r="D123" s="1" t="n">
        <v>46307</v>
      </c>
      <c r="E123" s="1" t="n">
        <v>46317</v>
      </c>
      <c r="F123" t="inlineStr">
        <is>
          <t>NORRBOTTENS LÄN</t>
        </is>
      </c>
      <c r="G123" t="inlineStr">
        <is>
          <t>ARJEPLOG</t>
        </is>
      </c>
      <c r="H123" t="inlineStr">
        <is>
          <t>Övriga statliga verk och myndigheter</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28787-2026</t>
        </is>
      </c>
      <c r="B124" t="inlineStr">
        <is>
          <t>avverkningsanmälan</t>
        </is>
      </c>
      <c r="C124" t="inlineStr">
        <is>
          <t>Föryngringsavverkning</t>
        </is>
      </c>
      <c r="D124" s="1" t="n">
        <v>46198</v>
      </c>
      <c r="E124" s="1" t="n">
        <v>46317</v>
      </c>
      <c r="F124" t="inlineStr">
        <is>
          <t>NORRBOTTENS LÄN</t>
        </is>
      </c>
      <c r="G124" t="inlineStr">
        <is>
          <t>ARJEPLOG</t>
        </is>
      </c>
      <c r="H124" t="inlineStr">
        <is>
          <t>Allmännings- och besparingsskogar</t>
        </is>
      </c>
      <c r="I124" t="n">
        <v>13.3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28804-2026</t>
        </is>
      </c>
      <c r="B125" t="inlineStr">
        <is>
          <t>avverkningsanmälan</t>
        </is>
      </c>
      <c r="C125" t="inlineStr">
        <is>
          <t>Föryngringsavverkning</t>
        </is>
      </c>
      <c r="D125" s="1" t="n">
        <v>46198</v>
      </c>
      <c r="E125" s="1" t="n">
        <v>46317</v>
      </c>
      <c r="F125" t="inlineStr">
        <is>
          <t>NORRBOTTENS LÄN</t>
        </is>
      </c>
      <c r="G125" t="inlineStr">
        <is>
          <t>ARJEPLOG</t>
        </is>
      </c>
      <c r="H125" t="inlineStr">
        <is>
          <t>Allmännings- och besparingsskogar</t>
        </is>
      </c>
      <c r="I125" t="n">
        <v>11.5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28551-2026</t>
        </is>
      </c>
      <c r="B126" t="inlineStr">
        <is>
          <t>avverkningsanmälan</t>
        </is>
      </c>
      <c r="C126" t="inlineStr">
        <is>
          <t>Föryngringsavverkning</t>
        </is>
      </c>
      <c r="D126" s="1" t="n">
        <v>46197</v>
      </c>
      <c r="E126" s="1" t="n">
        <v>46317</v>
      </c>
      <c r="F126" t="inlineStr">
        <is>
          <t>NORRBOTTENS LÄN</t>
        </is>
      </c>
      <c r="G126" t="inlineStr">
        <is>
          <t>ARJEPLOG</t>
        </is>
      </c>
      <c r="H126" t="inlineStr">
        <is>
          <t>Allmännings- och besparingsskogar</t>
        </is>
      </c>
      <c r="I126" t="n">
        <v>22.9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28679-2026</t>
        </is>
      </c>
      <c r="B127" t="inlineStr">
        <is>
          <t>avverkningsanmälan</t>
        </is>
      </c>
      <c r="C127" t="inlineStr">
        <is>
          <t>Föryngringsavverkning</t>
        </is>
      </c>
      <c r="D127" s="1" t="n">
        <v>46198</v>
      </c>
      <c r="E127" s="1" t="n">
        <v>46317</v>
      </c>
      <c r="F127" t="inlineStr">
        <is>
          <t>NORRBOTTENS LÄN</t>
        </is>
      </c>
      <c r="G127" t="inlineStr">
        <is>
          <t>ARJEPLOG</t>
        </is>
      </c>
      <c r="H127" t="inlineStr">
        <is>
          <t>Allmännings- och besparingsskogar</t>
        </is>
      </c>
      <c r="I127" t="n">
        <v>17.2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36470-2026</t>
        </is>
      </c>
      <c r="B128" t="inlineStr">
        <is>
          <t>avverkningsanmälan</t>
        </is>
      </c>
      <c r="C128" t="inlineStr">
        <is>
          <t>Föryngringsavverkning</t>
        </is>
      </c>
      <c r="D128" s="1" t="n">
        <v>46269</v>
      </c>
      <c r="E128" s="1" t="n">
        <v>46317</v>
      </c>
      <c r="F128" t="inlineStr">
        <is>
          <t>NORRBOTTENS LÄN</t>
        </is>
      </c>
      <c r="G128" t="inlineStr">
        <is>
          <t>ARJEPLOG</t>
        </is>
      </c>
      <c r="H128" t="inlineStr">
        <is>
          <t>Sveaskog</t>
        </is>
      </c>
      <c r="I128" t="n">
        <v>13.9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36006-2026</t>
        </is>
      </c>
      <c r="B129" t="inlineStr">
        <is>
          <t>avverkningsanmälan</t>
        </is>
      </c>
      <c r="C129" t="inlineStr">
        <is>
          <t>Avverkning för annat ändamål</t>
        </is>
      </c>
      <c r="D129" s="1" t="n">
        <v>46266</v>
      </c>
      <c r="E129" s="1" t="n">
        <v>46317</v>
      </c>
      <c r="F129" t="inlineStr">
        <is>
          <t>NORRBOTTENS LÄN</t>
        </is>
      </c>
      <c r="G129" t="inlineStr">
        <is>
          <t>ARJEPLOG</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c r="A130" t="inlineStr">
        <is>
          <t>S 1086-2023</t>
        </is>
      </c>
      <c r="B130" t="inlineStr">
        <is>
          <t>samrådsanmälan</t>
        </is>
      </c>
      <c r="C130" t="inlineStr">
        <is>
          <t>Skogsgödsling</t>
        </is>
      </c>
      <c r="D130" s="1" t="n">
        <v>45013</v>
      </c>
      <c r="E130" s="1" t="n">
        <v>46317</v>
      </c>
      <c r="F130" t="inlineStr">
        <is>
          <t>NORRBOTTENS LÄN</t>
        </is>
      </c>
      <c r="G130" t="inlineStr">
        <is>
          <t>ARJEPLOG</t>
        </is>
      </c>
      <c r="H130" t="inlineStr">
        <is>
          <t>SCA</t>
        </is>
      </c>
      <c r="I130" t="n">
        <v>24.2</v>
      </c>
      <c r="J130" t="n">
        <v>0</v>
      </c>
      <c r="K130" t="n">
        <v>0</v>
      </c>
      <c r="L130" t="n">
        <v>0</v>
      </c>
      <c r="M130" t="n">
        <v>0</v>
      </c>
      <c r="N130" t="n">
        <v>0</v>
      </c>
      <c r="O130" t="n">
        <v>0</v>
      </c>
      <c r="P130" t="n">
        <v>0</v>
      </c>
      <c r="Q130" t="n">
        <v>0</v>
      </c>
      <c r="R130" t="n">
        <v>0</v>
      </c>
      <c r="S130" t="n">
        <v>0</v>
      </c>
      <c r="T130" t="n">
        <v>0</v>
      </c>
      <c r="U130" t="n">
        <v>0</v>
      </c>
      <c r="V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2026-10-22T01:57:39Z</dcterms:created>
  <dcterms:modified xmlns:dcterms="http://purl.org/dc/terms/" xmlns:xsi="http://www.w3.org/2001/XMLSchema-instance" xsi:type="dcterms:W3CDTF">2026-10-22T01:57:39Z</dcterms:modified>
</cp:coreProperties>
</file>