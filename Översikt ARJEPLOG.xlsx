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46302</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46302</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46302</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46302</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46302</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46302</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46302</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46302</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46302</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46302</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46302</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46302</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38453-2026</t>
        </is>
      </c>
      <c r="B14" t="inlineStr">
        <is>
          <t>avverkningsanmälan</t>
        </is>
      </c>
      <c r="C14" t="inlineStr">
        <is>
          <t>Föryngringsavverkning</t>
        </is>
      </c>
      <c r="D14" s="1" t="n">
        <v>46282</v>
      </c>
      <c r="E14" s="1" t="n">
        <v>46302</v>
      </c>
      <c r="F14" t="inlineStr">
        <is>
          <t>NORRBOTTENS LÄN</t>
        </is>
      </c>
      <c r="G14" t="inlineStr">
        <is>
          <t>ARJEPLOG</t>
        </is>
      </c>
      <c r="I14" t="n">
        <v>13</v>
      </c>
      <c r="J14" t="n">
        <v>4</v>
      </c>
      <c r="K14" t="n">
        <v>3</v>
      </c>
      <c r="L14" t="n">
        <v>15</v>
      </c>
      <c r="M14" t="n">
        <v>3</v>
      </c>
      <c r="N14" t="n">
        <v>0</v>
      </c>
      <c r="O14" t="n">
        <v>0</v>
      </c>
      <c r="P14" t="n">
        <v>0</v>
      </c>
      <c r="Q14" t="n">
        <v>18</v>
      </c>
      <c r="R14" t="n">
        <v>3</v>
      </c>
      <c r="S14" t="n">
        <v>22</v>
      </c>
      <c r="T14" t="n">
        <v>38</v>
      </c>
      <c r="U14" t="n">
        <v>0</v>
      </c>
      <c r="V14"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4">
        <f>HYPERLINK("https://klasma.github.io/Logging_2506/artfynd/A 38453-2026 artfynd.xlsx", "A 38453-2026")</f>
        <v/>
      </c>
      <c r="X14">
        <f>HYPERLINK("https://klasma.github.io/Logging_2506/kartor/A 38453-2026 karta.png", "A 38453-2026")</f>
        <v/>
      </c>
      <c r="Y14">
        <f>HYPERLINK("https://klasma.github.io/Logging_2506/kartor_geotiff/A 38453-2026 georefererad karta.tif", "A 38453-2026")</f>
        <v/>
      </c>
      <c r="AA14">
        <f>HYPERLINK("https://klasma.github.io/Logging_2506/klagomål/A 38453-2026 FSC-klagomål.docx", "A 38453-2026")</f>
        <v/>
      </c>
      <c r="AB14">
        <f>HYPERLINK("https://klasma.github.io/Logging_2506/klagomålsmail/A 38453-2026 FSC-klagomål mail.docx", "A 38453-2026")</f>
        <v/>
      </c>
      <c r="AC14">
        <f>HYPERLINK("https://klasma.github.io/Logging_2506/tillsyn/A 38453-2026 tillsynsbegäran.docx", "A 38453-2026")</f>
        <v/>
      </c>
      <c r="AD14">
        <f>HYPERLINK("https://klasma.github.io/Logging_2506/tillsynsmail/A 38453-2026 tillsynsbegäran mail.docx", "A 38453-2026")</f>
        <v/>
      </c>
      <c r="AE14">
        <f>HYPERLINK("https://klasma.github.io/Logging_2506/fåglar/A 38453-2026 prioriterade fågelarter.docx", "A 38453-2026")</f>
        <v/>
      </c>
    </row>
    <row r="15" ht="15" customHeight="1">
      <c r="A15" t="inlineStr">
        <is>
          <t>A 64817-2023</t>
        </is>
      </c>
      <c r="B15" t="inlineStr">
        <is>
          <t>avverkningsanmälan</t>
        </is>
      </c>
      <c r="C15" t="inlineStr">
        <is>
          <t>Föryngringsavverkning</t>
        </is>
      </c>
      <c r="D15" s="1" t="n">
        <v>45281</v>
      </c>
      <c r="E15" s="1" t="n">
        <v>46302</v>
      </c>
      <c r="F15" t="inlineStr">
        <is>
          <t>NORRBOTTENS LÄN</t>
        </is>
      </c>
      <c r="G15" t="inlineStr">
        <is>
          <t>ARJEPLOG</t>
        </is>
      </c>
      <c r="I15" t="n">
        <v>7.5</v>
      </c>
      <c r="J15" t="n">
        <v>2</v>
      </c>
      <c r="K15" t="n">
        <v>5</v>
      </c>
      <c r="L15" t="n">
        <v>13</v>
      </c>
      <c r="M15" t="n">
        <v>3</v>
      </c>
      <c r="N15" t="n">
        <v>0</v>
      </c>
      <c r="O15" t="n">
        <v>0</v>
      </c>
      <c r="P15" t="n">
        <v>0</v>
      </c>
      <c r="Q15" t="n">
        <v>16</v>
      </c>
      <c r="R15" t="n">
        <v>3</v>
      </c>
      <c r="S15" t="n">
        <v>22</v>
      </c>
      <c r="T15" t="n">
        <v>36</v>
      </c>
      <c r="U15" t="n">
        <v>36</v>
      </c>
      <c r="V1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5">
        <f>HYPERLINK("https://klasma.github.io/Logging_2506/artfynd/A 64817-2023 artfynd.xlsx", "A 64817-2023")</f>
        <v/>
      </c>
      <c r="X15">
        <f>HYPERLINK("https://klasma.github.io/Logging_2506/kartor/A 64817-2023 karta.png", "A 64817-2023")</f>
        <v/>
      </c>
      <c r="Y15">
        <f>HYPERLINK("https://klasma.github.io/Logging_2506/kartor_geotiff/A 64817-2023 georefererad karta.tif", "A 64817-2023")</f>
        <v/>
      </c>
      <c r="AA15">
        <f>HYPERLINK("https://klasma.github.io/Logging_2506/klagomål/A 64817-2023 FSC-klagomål.docx", "A 64817-2023")</f>
        <v/>
      </c>
      <c r="AB15">
        <f>HYPERLINK("https://klasma.github.io/Logging_2506/klagomålsmail/A 64817-2023 FSC-klagomål mail.docx", "A 64817-2023")</f>
        <v/>
      </c>
      <c r="AC15">
        <f>HYPERLINK("https://klasma.github.io/Logging_2506/tillsyn/A 64817-2023 tillsynsbegäran.docx", "A 64817-2023")</f>
        <v/>
      </c>
      <c r="AD15">
        <f>HYPERLINK("https://klasma.github.io/Logging_2506/tillsynsmail/A 64817-2023 tillsynsbegäran mail.docx", "A 64817-2023")</f>
        <v/>
      </c>
      <c r="AE15">
        <f>HYPERLINK("https://klasma.github.io/Logging_2506/fåglar/A 64817-2023 prioriterade fågelarter.docx", "A 64817-2023")</f>
        <v/>
      </c>
    </row>
    <row r="16" ht="15" customHeight="1">
      <c r="A16" t="inlineStr">
        <is>
          <t>A 34430-2025</t>
        </is>
      </c>
      <c r="B16" t="inlineStr">
        <is>
          <t>avverkningsanmälan</t>
        </is>
      </c>
      <c r="C16" t="inlineStr">
        <is>
          <t>Föryngringsavverkning</t>
        </is>
      </c>
      <c r="D16" s="1" t="n">
        <v>45845</v>
      </c>
      <c r="E16" s="1" t="n">
        <v>46302</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46302</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46302</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46302</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46302</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46302</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46302</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46302</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46302</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46302</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46302</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45032-2023</t>
        </is>
      </c>
      <c r="B27" t="inlineStr">
        <is>
          <t>avverkningsanmälan</t>
        </is>
      </c>
      <c r="C27" t="inlineStr">
        <is>
          <t>Föryngringsavverkning</t>
        </is>
      </c>
      <c r="D27" s="1" t="n">
        <v>45190</v>
      </c>
      <c r="E27" s="1" t="n">
        <v>46302</v>
      </c>
      <c r="F27" t="inlineStr">
        <is>
          <t>NORRBOTTENS LÄN</t>
        </is>
      </c>
      <c r="G27" t="inlineStr">
        <is>
          <t>ARJEPLOG</t>
        </is>
      </c>
      <c r="H27" t="inlineStr">
        <is>
          <t>Övriga statliga verk och myndigheter</t>
        </is>
      </c>
      <c r="I27" t="n">
        <v>6.3</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45032-2023 artfynd.xlsx", "A 45032-2023")</f>
        <v/>
      </c>
      <c r="X27">
        <f>HYPERLINK("https://klasma.github.io/Logging_2506/kartor/A 45032-2023 karta.png", "A 45032-2023")</f>
        <v/>
      </c>
      <c r="Y27">
        <f>HYPERLINK("https://klasma.github.io/Logging_2506/kartor_geotiff/A 45032-2023 georefererad karta.tif", "A 45032-2023")</f>
        <v/>
      </c>
      <c r="AA27">
        <f>HYPERLINK("https://klasma.github.io/Logging_2506/klagomål/A 45032-2023 FSC-klagomål.docx", "A 45032-2023")</f>
        <v/>
      </c>
      <c r="AB27">
        <f>HYPERLINK("https://klasma.github.io/Logging_2506/klagomålsmail/A 45032-2023 FSC-klagomål mail.docx", "A 45032-2023")</f>
        <v/>
      </c>
      <c r="AC27">
        <f>HYPERLINK("https://klasma.github.io/Logging_2506/tillsyn/A 45032-2023 tillsynsbegäran.docx", "A 45032-2023")</f>
        <v/>
      </c>
      <c r="AD27">
        <f>HYPERLINK("https://klasma.github.io/Logging_2506/tillsynsmail/A 45032-2023 tillsynsbegäran mail.docx", "A 45032-2023")</f>
        <v/>
      </c>
      <c r="AE27">
        <f>HYPERLINK("https://klasma.github.io/Logging_2506/fåglar/A 45032-2023 prioriterade fågelarter.docx", "A 45032-2023")</f>
        <v/>
      </c>
    </row>
    <row r="28" ht="15" customHeight="1">
      <c r="A28" t="inlineStr">
        <is>
          <t>A 28351-2025</t>
        </is>
      </c>
      <c r="B28" t="inlineStr">
        <is>
          <t>avverkningsanmälan</t>
        </is>
      </c>
      <c r="C28" t="inlineStr">
        <is>
          <t>Föryngringsavverkning</t>
        </is>
      </c>
      <c r="D28" s="1" t="n">
        <v>45818</v>
      </c>
      <c r="E28" s="1" t="n">
        <v>46302</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48673-2023</t>
        </is>
      </c>
      <c r="B29" t="inlineStr">
        <is>
          <t>avverkningsanmälan</t>
        </is>
      </c>
      <c r="C29" t="inlineStr">
        <is>
          <t>Föryngringsavverkning</t>
        </is>
      </c>
      <c r="D29" s="1" t="n">
        <v>45203</v>
      </c>
      <c r="E29" s="1" t="n">
        <v>46302</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4544-2024</t>
        </is>
      </c>
      <c r="B30" t="inlineStr">
        <is>
          <t>avverkningsanmälan</t>
        </is>
      </c>
      <c r="C30" t="inlineStr">
        <is>
          <t>Föryngringsavverkning</t>
        </is>
      </c>
      <c r="D30" s="1" t="n">
        <v>45327</v>
      </c>
      <c r="E30" s="1" t="n">
        <v>46302</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46302</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46302</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46302</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46302</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46302</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46302</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15171-2022</t>
        </is>
      </c>
      <c r="B37" t="inlineStr">
        <is>
          <t>avverkningsanmälan</t>
        </is>
      </c>
      <c r="C37" t="inlineStr">
        <is>
          <t>Föryngringsavverkning</t>
        </is>
      </c>
      <c r="D37" s="1" t="n">
        <v>44658</v>
      </c>
      <c r="E37" s="1" t="n">
        <v>46302</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46302</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36564-2026</t>
        </is>
      </c>
      <c r="B39" t="inlineStr">
        <is>
          <t>avverkningsanmälan</t>
        </is>
      </c>
      <c r="C39" t="inlineStr">
        <is>
          <t>Föryngringsavverkning</t>
        </is>
      </c>
      <c r="D39" s="1" t="n">
        <v>46269</v>
      </c>
      <c r="E39" s="1" t="n">
        <v>46302</v>
      </c>
      <c r="F39" t="inlineStr">
        <is>
          <t>NORRBOTTENS LÄN</t>
        </is>
      </c>
      <c r="G39" t="inlineStr">
        <is>
          <t>ARJEPLOG</t>
        </is>
      </c>
      <c r="H39" t="inlineStr">
        <is>
          <t>Sveaskog</t>
        </is>
      </c>
      <c r="I39" t="n">
        <v>21.5</v>
      </c>
      <c r="J39" t="n">
        <v>0</v>
      </c>
      <c r="K39" t="n">
        <v>1</v>
      </c>
      <c r="L39" t="n">
        <v>2</v>
      </c>
      <c r="M39" t="n">
        <v>0</v>
      </c>
      <c r="N39" t="n">
        <v>0</v>
      </c>
      <c r="O39" t="n">
        <v>0</v>
      </c>
      <c r="P39" t="n">
        <v>0</v>
      </c>
      <c r="Q39" t="n">
        <v>2</v>
      </c>
      <c r="R39" t="n">
        <v>0</v>
      </c>
      <c r="S39" t="n">
        <v>3</v>
      </c>
      <c r="T39" t="n">
        <v>5</v>
      </c>
      <c r="U39" t="n">
        <v>0</v>
      </c>
      <c r="V39" s="2" t="inlineStr">
        <is>
          <t>Blå taggsvamp
Kolflarnlav
Stuplav</t>
        </is>
      </c>
      <c r="W39">
        <f>HYPERLINK("https://klasma.github.io/Logging_2506/artfynd/A 36564-2026 artfynd.xlsx", "A 36564-2026")</f>
        <v/>
      </c>
      <c r="X39">
        <f>HYPERLINK("https://klasma.github.io/Logging_2506/kartor/A 36564-2026 karta.png", "A 36564-2026")</f>
        <v/>
      </c>
      <c r="Y39">
        <f>HYPERLINK("https://klasma.github.io/Logging_2506/kartor_geotiff/A 36564-2026 georefererad karta.tif", "A 36564-2026")</f>
        <v/>
      </c>
      <c r="AA39">
        <f>HYPERLINK("https://klasma.github.io/Logging_2506/klagomål/A 36564-2026 FSC-klagomål.docx", "A 36564-2026")</f>
        <v/>
      </c>
      <c r="AB39">
        <f>HYPERLINK("https://klasma.github.io/Logging_2506/klagomålsmail/A 36564-2026 FSC-klagomål mail.docx", "A 36564-2026")</f>
        <v/>
      </c>
      <c r="AC39">
        <f>HYPERLINK("https://klasma.github.io/Logging_2506/tillsyn/A 36564-2026 tillsynsbegäran.docx", "A 36564-2026")</f>
        <v/>
      </c>
      <c r="AD39">
        <f>HYPERLINK("https://klasma.github.io/Logging_2506/tillsynsmail/A 36564-2026 tillsynsbegäran mail.docx", "A 36564-2026")</f>
        <v/>
      </c>
    </row>
    <row r="40" ht="15" customHeight="1">
      <c r="A40" t="inlineStr">
        <is>
          <t>A 10525-2024</t>
        </is>
      </c>
      <c r="B40" t="inlineStr">
        <is>
          <t>avverkningsanmälan</t>
        </is>
      </c>
      <c r="C40" t="inlineStr">
        <is>
          <t>Föryngringsavverkning</t>
        </is>
      </c>
      <c r="D40" s="1" t="n">
        <v>45366</v>
      </c>
      <c r="E40" s="1" t="n">
        <v>46302</v>
      </c>
      <c r="F40" t="inlineStr">
        <is>
          <t>NORRBOTTENS LÄN</t>
        </is>
      </c>
      <c r="G40" t="inlineStr">
        <is>
          <t>ARJEPLOG</t>
        </is>
      </c>
      <c r="I40" t="n">
        <v>15.5</v>
      </c>
      <c r="J40" t="n">
        <v>2</v>
      </c>
      <c r="K40" t="n">
        <v>3</v>
      </c>
      <c r="L40" t="n">
        <v>0</v>
      </c>
      <c r="M40" t="n">
        <v>0</v>
      </c>
      <c r="N40" t="n">
        <v>0</v>
      </c>
      <c r="O40" t="n">
        <v>0</v>
      </c>
      <c r="P40" t="n">
        <v>0</v>
      </c>
      <c r="Q40" t="n">
        <v>0</v>
      </c>
      <c r="R40" t="n">
        <v>0</v>
      </c>
      <c r="S40" t="n">
        <v>3</v>
      </c>
      <c r="T40" t="n">
        <v>4</v>
      </c>
      <c r="U40" t="n">
        <v>0</v>
      </c>
      <c r="V40" s="2" t="inlineStr">
        <is>
          <t>Korallrot
Spindelblomster
Ögonpyrola</t>
        </is>
      </c>
      <c r="W40">
        <f>HYPERLINK("https://klasma.github.io/Logging_2506/artfynd/A 10525-2024 artfynd.xlsx", "A 10525-2024")</f>
        <v/>
      </c>
      <c r="X40">
        <f>HYPERLINK("https://klasma.github.io/Logging_2506/kartor/A 10525-2024 karta.png", "A 10525-2024")</f>
        <v/>
      </c>
      <c r="Y40">
        <f>HYPERLINK("https://klasma.github.io/Logging_2506/kartor_geotiff/A 10525-2024 georefererad karta.tif", "A 10525-2024")</f>
        <v/>
      </c>
      <c r="AA40">
        <f>HYPERLINK("https://klasma.github.io/Logging_2506/klagomål/A 10525-2024 FSC-klagomål.docx", "A 10525-2024")</f>
        <v/>
      </c>
      <c r="AB40">
        <f>HYPERLINK("https://klasma.github.io/Logging_2506/klagomålsmail/A 10525-2024 FSC-klagomål mail.docx", "A 10525-2024")</f>
        <v/>
      </c>
      <c r="AC40">
        <f>HYPERLINK("https://klasma.github.io/Logging_2506/tillsyn/A 10525-2024 tillsynsbegäran.docx", "A 10525-2024")</f>
        <v/>
      </c>
      <c r="AD40">
        <f>HYPERLINK("https://klasma.github.io/Logging_2506/tillsynsmail/A 10525-2024 tillsynsbegäran mail.docx", "A 10525-2024")</f>
        <v/>
      </c>
    </row>
    <row r="41" ht="15" customHeight="1">
      <c r="A41" t="inlineStr">
        <is>
          <t>A 41375-2024</t>
        </is>
      </c>
      <c r="B41" t="inlineStr">
        <is>
          <t>avverkningsanmälan</t>
        </is>
      </c>
      <c r="C41" t="inlineStr">
        <is>
          <t>Avverkning för annat ändamål</t>
        </is>
      </c>
      <c r="D41" s="1" t="n">
        <v>45559</v>
      </c>
      <c r="E41" s="1" t="n">
        <v>46302</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46302</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46302</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46302</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46302</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46302</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20905-2025</t>
        </is>
      </c>
      <c r="B47" t="inlineStr">
        <is>
          <t>avverkningsanmälan</t>
        </is>
      </c>
      <c r="C47" t="inlineStr">
        <is>
          <t>Föryngringsavverkning</t>
        </is>
      </c>
      <c r="D47" s="1" t="n">
        <v>45777</v>
      </c>
      <c r="E47" s="1" t="n">
        <v>46302</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46302</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46302</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46302</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46302</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46302</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46302</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46302</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46302</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46302</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46302</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46910-2024</t>
        </is>
      </c>
      <c r="B58" t="inlineStr">
        <is>
          <t>avverkningsanmälan</t>
        </is>
      </c>
      <c r="C58" t="inlineStr">
        <is>
          <t>Föryngringsavverkning</t>
        </is>
      </c>
      <c r="D58" s="1" t="n">
        <v>45583</v>
      </c>
      <c r="E58" s="1" t="n">
        <v>46302</v>
      </c>
      <c r="F58" t="inlineStr">
        <is>
          <t>NORRBOTTENS LÄN</t>
        </is>
      </c>
      <c r="G58" t="inlineStr">
        <is>
          <t>ARJEPLOG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46302</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55266-2024</t>
        </is>
      </c>
      <c r="B60" t="inlineStr">
        <is>
          <t>avverkningsanmälan</t>
        </is>
      </c>
      <c r="C60" t="inlineStr">
        <is>
          <t>Föryngringsavverkning</t>
        </is>
      </c>
      <c r="D60" s="1" t="n">
        <v>45621</v>
      </c>
      <c r="E60" s="1" t="n">
        <v>46302</v>
      </c>
      <c r="F60" t="inlineStr">
        <is>
          <t>NORRBOTTENS LÄN</t>
        </is>
      </c>
      <c r="G60" t="inlineStr">
        <is>
          <t>ARJEPLOG</t>
        </is>
      </c>
      <c r="I60" t="n">
        <v>11.3</v>
      </c>
      <c r="J60" t="n">
        <v>0</v>
      </c>
      <c r="K60" t="n">
        <v>0</v>
      </c>
      <c r="L60" t="n">
        <v>0</v>
      </c>
      <c r="M60" t="n">
        <v>0</v>
      </c>
      <c r="N60" t="n">
        <v>0</v>
      </c>
      <c r="O60" t="n">
        <v>0</v>
      </c>
      <c r="P60" t="n">
        <v>0</v>
      </c>
      <c r="Q60" t="n">
        <v>0</v>
      </c>
      <c r="R60" t="n">
        <v>0</v>
      </c>
      <c r="S60" t="n">
        <v>0</v>
      </c>
      <c r="T60" t="n">
        <v>0</v>
      </c>
      <c r="U60" t="n">
        <v>0</v>
      </c>
      <c r="V60" s="2" t="inlineStr"/>
    </row>
    <row r="61" ht="15" customHeight="1">
      <c r="A61" t="inlineStr">
        <is>
          <t>A 45072-2023</t>
        </is>
      </c>
      <c r="B61" t="inlineStr">
        <is>
          <t>avverkningsanmälan</t>
        </is>
      </c>
      <c r="C61" t="inlineStr">
        <is>
          <t>Föryngringsavverkning</t>
        </is>
      </c>
      <c r="D61" s="1" t="n">
        <v>45187</v>
      </c>
      <c r="E61" s="1" t="n">
        <v>46302</v>
      </c>
      <c r="F61" t="inlineStr">
        <is>
          <t>NORRBOTTENS LÄN</t>
        </is>
      </c>
      <c r="G61" t="inlineStr">
        <is>
          <t>ARJEPLOG</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58370-2023</t>
        </is>
      </c>
      <c r="B62" t="inlineStr">
        <is>
          <t>avverkningsanmälan</t>
        </is>
      </c>
      <c r="C62" t="inlineStr">
        <is>
          <t>Avverkning för att bevara och utveckla /försöksver</t>
        </is>
      </c>
      <c r="D62" s="1" t="n">
        <v>45250</v>
      </c>
      <c r="E62" s="1" t="n">
        <v>46302</v>
      </c>
      <c r="F62" t="inlineStr">
        <is>
          <t>NORRBOTTENS LÄN</t>
        </is>
      </c>
      <c r="G62" t="inlineStr">
        <is>
          <t>ARJEPLOG</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43045-2022</t>
        </is>
      </c>
      <c r="B63" t="inlineStr">
        <is>
          <t>avverkningsanmälan</t>
        </is>
      </c>
      <c r="C63" t="inlineStr">
        <is>
          <t>Föryngringsavverkning</t>
        </is>
      </c>
      <c r="D63" s="1" t="n">
        <v>44833</v>
      </c>
      <c r="E63" s="1" t="n">
        <v>46302</v>
      </c>
      <c r="F63" t="inlineStr">
        <is>
          <t>NORRBOTTENS LÄN</t>
        </is>
      </c>
      <c r="G63" t="inlineStr">
        <is>
          <t>ARJEPLOG</t>
        </is>
      </c>
      <c r="I63" t="n">
        <v>24.6</v>
      </c>
      <c r="J63" t="n">
        <v>0</v>
      </c>
      <c r="K63" t="n">
        <v>0</v>
      </c>
      <c r="L63" t="n">
        <v>0</v>
      </c>
      <c r="M63" t="n">
        <v>0</v>
      </c>
      <c r="N63" t="n">
        <v>0</v>
      </c>
      <c r="O63" t="n">
        <v>0</v>
      </c>
      <c r="P63" t="n">
        <v>0</v>
      </c>
      <c r="Q63" t="n">
        <v>0</v>
      </c>
      <c r="R63" t="n">
        <v>0</v>
      </c>
      <c r="S63" t="n">
        <v>0</v>
      </c>
      <c r="T63" t="n">
        <v>0</v>
      </c>
      <c r="U63" t="n">
        <v>0</v>
      </c>
      <c r="V63" s="2" t="inlineStr"/>
    </row>
    <row r="64" ht="15" customHeight="1">
      <c r="A64" t="inlineStr">
        <is>
          <t>A 43045-2022</t>
        </is>
      </c>
      <c r="B64" t="inlineStr">
        <is>
          <t>avverkningsanmälan</t>
        </is>
      </c>
      <c r="C64" t="inlineStr">
        <is>
          <t>Föryngringsavverkning</t>
        </is>
      </c>
      <c r="D64" s="1" t="n">
        <v>44833</v>
      </c>
      <c r="E64" s="1" t="n">
        <v>46302</v>
      </c>
      <c r="F64" t="inlineStr">
        <is>
          <t>NORRBOTTENS LÄN</t>
        </is>
      </c>
      <c r="G64" t="inlineStr">
        <is>
          <t>ARJEPLOG</t>
        </is>
      </c>
      <c r="I64" t="n">
        <v>23.2</v>
      </c>
      <c r="J64" t="n">
        <v>0</v>
      </c>
      <c r="K64" t="n">
        <v>0</v>
      </c>
      <c r="L64" t="n">
        <v>0</v>
      </c>
      <c r="M64" t="n">
        <v>0</v>
      </c>
      <c r="N64" t="n">
        <v>0</v>
      </c>
      <c r="O64" t="n">
        <v>0</v>
      </c>
      <c r="P64" t="n">
        <v>0</v>
      </c>
      <c r="Q64" t="n">
        <v>0</v>
      </c>
      <c r="R64" t="n">
        <v>0</v>
      </c>
      <c r="S64" t="n">
        <v>0</v>
      </c>
      <c r="T64" t="n">
        <v>0</v>
      </c>
      <c r="U64" t="n">
        <v>0</v>
      </c>
      <c r="V64" s="2" t="inlineStr"/>
    </row>
    <row r="65" ht="15" customHeight="1">
      <c r="A65" t="inlineStr">
        <is>
          <t>A 3006-2024</t>
        </is>
      </c>
      <c r="B65" t="inlineStr">
        <is>
          <t>avverkningsanmälan</t>
        </is>
      </c>
      <c r="C65" t="inlineStr">
        <is>
          <t>Föryngringsavverkning</t>
        </is>
      </c>
      <c r="D65" s="1" t="n">
        <v>45315</v>
      </c>
      <c r="E65" s="1" t="n">
        <v>46302</v>
      </c>
      <c r="F65" t="inlineStr">
        <is>
          <t>NORRBOTTENS LÄN</t>
        </is>
      </c>
      <c r="G65" t="inlineStr">
        <is>
          <t>ARJEPLOG</t>
        </is>
      </c>
      <c r="I65" t="n">
        <v>9.1</v>
      </c>
      <c r="J65" t="n">
        <v>0</v>
      </c>
      <c r="K65" t="n">
        <v>0</v>
      </c>
      <c r="L65" t="n">
        <v>0</v>
      </c>
      <c r="M65" t="n">
        <v>0</v>
      </c>
      <c r="N65" t="n">
        <v>0</v>
      </c>
      <c r="O65" t="n">
        <v>0</v>
      </c>
      <c r="P65" t="n">
        <v>0</v>
      </c>
      <c r="Q65" t="n">
        <v>0</v>
      </c>
      <c r="R65" t="n">
        <v>0</v>
      </c>
      <c r="S65" t="n">
        <v>0</v>
      </c>
      <c r="T65" t="n">
        <v>0</v>
      </c>
      <c r="U65" t="n">
        <v>0</v>
      </c>
      <c r="V65" s="2" t="inlineStr"/>
    </row>
    <row r="66" ht="15" customHeight="1">
      <c r="A66" t="inlineStr">
        <is>
          <t>A 526-2025</t>
        </is>
      </c>
      <c r="B66" t="inlineStr">
        <is>
          <t>avverkningsanmälan</t>
        </is>
      </c>
      <c r="C66" t="inlineStr">
        <is>
          <t>Avverkning för annat ändamål</t>
        </is>
      </c>
      <c r="D66" s="1" t="n">
        <v>45664</v>
      </c>
      <c r="E66" s="1" t="n">
        <v>46302</v>
      </c>
      <c r="F66" t="inlineStr">
        <is>
          <t>NORRBOTTENS LÄN</t>
        </is>
      </c>
      <c r="G66" t="inlineStr">
        <is>
          <t>ARJEPLOG</t>
        </is>
      </c>
      <c r="H66" t="inlineStr">
        <is>
          <t>Övriga statliga verk och myndigheter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12447-2025</t>
        </is>
      </c>
      <c r="B67" t="inlineStr">
        <is>
          <t>avverkningsanmälan</t>
        </is>
      </c>
      <c r="C67" t="inlineStr">
        <is>
          <t>Föryngringsavverkning</t>
        </is>
      </c>
      <c r="D67" s="1" t="n">
        <v>45730</v>
      </c>
      <c r="E67" s="1" t="n">
        <v>46302</v>
      </c>
      <c r="F67" t="inlineStr">
        <is>
          <t>NORRBOTTENS LÄN</t>
        </is>
      </c>
      <c r="G67" t="inlineStr">
        <is>
          <t>ARJEPLOG</t>
        </is>
      </c>
      <c r="I67" t="n">
        <v>7.9</v>
      </c>
      <c r="J67" t="n">
        <v>0</v>
      </c>
      <c r="K67" t="n">
        <v>0</v>
      </c>
      <c r="L67" t="n">
        <v>0</v>
      </c>
      <c r="M67" t="n">
        <v>0</v>
      </c>
      <c r="N67" t="n">
        <v>0</v>
      </c>
      <c r="O67" t="n">
        <v>0</v>
      </c>
      <c r="P67" t="n">
        <v>0</v>
      </c>
      <c r="Q67" t="n">
        <v>0</v>
      </c>
      <c r="R67" t="n">
        <v>0</v>
      </c>
      <c r="S67" t="n">
        <v>0</v>
      </c>
      <c r="T67" t="n">
        <v>0</v>
      </c>
      <c r="U67" t="n">
        <v>0</v>
      </c>
      <c r="V67" s="2" t="inlineStr"/>
    </row>
    <row r="68" ht="15" customHeight="1">
      <c r="A68" t="inlineStr">
        <is>
          <t>A 25239-2023</t>
        </is>
      </c>
      <c r="B68" t="inlineStr">
        <is>
          <t>avverkningsanmälan</t>
        </is>
      </c>
      <c r="C68" t="inlineStr">
        <is>
          <t>Föryngringsavverkning</t>
        </is>
      </c>
      <c r="D68" s="1" t="n">
        <v>45079</v>
      </c>
      <c r="E68" s="1" t="n">
        <v>46302</v>
      </c>
      <c r="F68" t="inlineStr">
        <is>
          <t>NORRBOTTENS LÄN</t>
        </is>
      </c>
      <c r="G68" t="inlineStr">
        <is>
          <t>ARJEPLOG</t>
        </is>
      </c>
      <c r="H68" t="inlineStr">
        <is>
          <t>Övriga statliga verk och myndigheter</t>
        </is>
      </c>
      <c r="I68" t="n">
        <v>7</v>
      </c>
      <c r="J68" t="n">
        <v>0</v>
      </c>
      <c r="K68" t="n">
        <v>0</v>
      </c>
      <c r="L68" t="n">
        <v>0</v>
      </c>
      <c r="M68" t="n">
        <v>0</v>
      </c>
      <c r="N68" t="n">
        <v>0</v>
      </c>
      <c r="O68" t="n">
        <v>0</v>
      </c>
      <c r="P68" t="n">
        <v>0</v>
      </c>
      <c r="Q68" t="n">
        <v>0</v>
      </c>
      <c r="R68" t="n">
        <v>0</v>
      </c>
      <c r="S68" t="n">
        <v>0</v>
      </c>
      <c r="T68" t="n">
        <v>0</v>
      </c>
      <c r="U68" t="n">
        <v>0</v>
      </c>
      <c r="V68" s="2" t="inlineStr"/>
    </row>
    <row r="69" ht="15" customHeight="1">
      <c r="A69" t="inlineStr">
        <is>
          <t>A 35627-2025</t>
        </is>
      </c>
      <c r="B69" t="inlineStr">
        <is>
          <t>avverkningsanmälan</t>
        </is>
      </c>
      <c r="C69" t="inlineStr">
        <is>
          <t>Föryngringsavverkning</t>
        </is>
      </c>
      <c r="D69" s="1" t="n">
        <v>45859</v>
      </c>
      <c r="E69" s="1" t="n">
        <v>46302</v>
      </c>
      <c r="F69" t="inlineStr">
        <is>
          <t>NORRBOTTENS LÄN</t>
        </is>
      </c>
      <c r="G69" t="inlineStr">
        <is>
          <t>ARJEPLOG</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42331-2025</t>
        </is>
      </c>
      <c r="B70" t="inlineStr">
        <is>
          <t>avverkningsanmälan</t>
        </is>
      </c>
      <c r="C70" t="inlineStr">
        <is>
          <t>Föryngringsavverkning</t>
        </is>
      </c>
      <c r="D70" s="1" t="n">
        <v>45903</v>
      </c>
      <c r="E70" s="1" t="n">
        <v>46302</v>
      </c>
      <c r="F70" t="inlineStr">
        <is>
          <t>NORRBOTTENS LÄN</t>
        </is>
      </c>
      <c r="G70" t="inlineStr">
        <is>
          <t>ARJEPLOG</t>
        </is>
      </c>
      <c r="I70" t="n">
        <v>10</v>
      </c>
      <c r="J70" t="n">
        <v>0</v>
      </c>
      <c r="K70" t="n">
        <v>0</v>
      </c>
      <c r="L70" t="n">
        <v>0</v>
      </c>
      <c r="M70" t="n">
        <v>0</v>
      </c>
      <c r="N70" t="n">
        <v>0</v>
      </c>
      <c r="O70" t="n">
        <v>0</v>
      </c>
      <c r="P70" t="n">
        <v>0</v>
      </c>
      <c r="Q70" t="n">
        <v>0</v>
      </c>
      <c r="R70" t="n">
        <v>0</v>
      </c>
      <c r="S70" t="n">
        <v>0</v>
      </c>
      <c r="T70" t="n">
        <v>0</v>
      </c>
      <c r="U70" t="n">
        <v>0</v>
      </c>
      <c r="V70" s="2" t="inlineStr"/>
    </row>
    <row r="71" ht="15" customHeight="1">
      <c r="A71" t="inlineStr">
        <is>
          <t>A 42597-2025</t>
        </is>
      </c>
      <c r="B71" t="inlineStr">
        <is>
          <t>avverkningsanmälan</t>
        </is>
      </c>
      <c r="C71" t="inlineStr">
        <is>
          <t>Föryngringsavverkning</t>
        </is>
      </c>
      <c r="D71" s="1" t="n">
        <v>45905</v>
      </c>
      <c r="E71" s="1" t="n">
        <v>46302</v>
      </c>
      <c r="F71" t="inlineStr">
        <is>
          <t>NORRBOTTENS LÄN</t>
        </is>
      </c>
      <c r="G71" t="inlineStr">
        <is>
          <t>ARJEPLOG</t>
        </is>
      </c>
      <c r="I71" t="n">
        <v>9.199999999999999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23949-2024</t>
        </is>
      </c>
      <c r="B72" t="inlineStr">
        <is>
          <t>avverkningsanmälan</t>
        </is>
      </c>
      <c r="C72" t="inlineStr">
        <is>
          <t>Föryngringsavverkning</t>
        </is>
      </c>
      <c r="D72" s="1" t="n">
        <v>45455</v>
      </c>
      <c r="E72" s="1" t="n">
        <v>46302</v>
      </c>
      <c r="F72" t="inlineStr">
        <is>
          <t>NORRBOTTENS LÄN</t>
        </is>
      </c>
      <c r="G72" t="inlineStr">
        <is>
          <t>ARJEPLOG</t>
        </is>
      </c>
      <c r="H72" t="inlineStr">
        <is>
          <t>SCA</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50255-2023</t>
        </is>
      </c>
      <c r="B73" t="inlineStr">
        <is>
          <t>avverkningsanmälan</t>
        </is>
      </c>
      <c r="C73" t="inlineStr">
        <is>
          <t>Föryngringsavverkning</t>
        </is>
      </c>
      <c r="D73" s="1" t="n">
        <v>45216</v>
      </c>
      <c r="E73" s="1" t="n">
        <v>46302</v>
      </c>
      <c r="F73" t="inlineStr">
        <is>
          <t>NORRBOTTENS LÄN</t>
        </is>
      </c>
      <c r="G73" t="inlineStr">
        <is>
          <t>ARJEPLOG</t>
        </is>
      </c>
      <c r="I73" t="n">
        <v>20</v>
      </c>
      <c r="J73" t="n">
        <v>0</v>
      </c>
      <c r="K73" t="n">
        <v>0</v>
      </c>
      <c r="L73" t="n">
        <v>0</v>
      </c>
      <c r="M73" t="n">
        <v>0</v>
      </c>
      <c r="N73" t="n">
        <v>0</v>
      </c>
      <c r="O73" t="n">
        <v>0</v>
      </c>
      <c r="P73" t="n">
        <v>0</v>
      </c>
      <c r="Q73" t="n">
        <v>0</v>
      </c>
      <c r="R73" t="n">
        <v>0</v>
      </c>
      <c r="S73" t="n">
        <v>0</v>
      </c>
      <c r="T73" t="n">
        <v>0</v>
      </c>
      <c r="U73" t="n">
        <v>0</v>
      </c>
      <c r="V73" s="2" t="inlineStr"/>
    </row>
    <row r="74" ht="15" customHeight="1">
      <c r="A74" t="inlineStr">
        <is>
          <t>A 58989-2024</t>
        </is>
      </c>
      <c r="B74" t="inlineStr">
        <is>
          <t>avverkningsanmälan</t>
        </is>
      </c>
      <c r="C74" t="inlineStr">
        <is>
          <t>Avverkning för annat ändamål</t>
        </is>
      </c>
      <c r="D74" s="1" t="n">
        <v>45636</v>
      </c>
      <c r="E74" s="1" t="n">
        <v>46302</v>
      </c>
      <c r="F74" t="inlineStr">
        <is>
          <t>NORRBOTTENS LÄN</t>
        </is>
      </c>
      <c r="G74" t="inlineStr">
        <is>
          <t>ARJEPLOG</t>
        </is>
      </c>
      <c r="H74" t="inlineStr">
        <is>
          <t>Sveaskog</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25275-2023</t>
        </is>
      </c>
      <c r="B75" t="inlineStr">
        <is>
          <t>avverkningsanmälan</t>
        </is>
      </c>
      <c r="C75" t="inlineStr">
        <is>
          <t>Föryngringsavverkning</t>
        </is>
      </c>
      <c r="D75" s="1" t="n">
        <v>45079</v>
      </c>
      <c r="E75" s="1" t="n">
        <v>46302</v>
      </c>
      <c r="F75" t="inlineStr">
        <is>
          <t>NORRBOTTENS LÄN</t>
        </is>
      </c>
      <c r="G75" t="inlineStr">
        <is>
          <t>ARJEPLOG</t>
        </is>
      </c>
      <c r="H75" t="inlineStr">
        <is>
          <t>Övriga statliga verk och myndigheter</t>
        </is>
      </c>
      <c r="I75" t="n">
        <v>22.7</v>
      </c>
      <c r="J75" t="n">
        <v>0</v>
      </c>
      <c r="K75" t="n">
        <v>0</v>
      </c>
      <c r="L75" t="n">
        <v>0</v>
      </c>
      <c r="M75" t="n">
        <v>0</v>
      </c>
      <c r="N75" t="n">
        <v>0</v>
      </c>
      <c r="O75" t="n">
        <v>0</v>
      </c>
      <c r="P75" t="n">
        <v>0</v>
      </c>
      <c r="Q75" t="n">
        <v>0</v>
      </c>
      <c r="R75" t="n">
        <v>0</v>
      </c>
      <c r="S75" t="n">
        <v>0</v>
      </c>
      <c r="T75" t="n">
        <v>0</v>
      </c>
      <c r="U75" t="n">
        <v>0</v>
      </c>
      <c r="V75" s="2" t="inlineStr"/>
    </row>
    <row r="76" ht="15" customHeight="1">
      <c r="A76" t="inlineStr">
        <is>
          <t>A 31104-2025</t>
        </is>
      </c>
      <c r="B76" t="inlineStr">
        <is>
          <t>avverkningsanmälan</t>
        </is>
      </c>
      <c r="C76" t="inlineStr">
        <is>
          <t>Föryngringsavverkning</t>
        </is>
      </c>
      <c r="D76" s="1" t="n">
        <v>45832</v>
      </c>
      <c r="E76" s="1" t="n">
        <v>46302</v>
      </c>
      <c r="F76" t="inlineStr">
        <is>
          <t>NORRBOTTENS LÄN</t>
        </is>
      </c>
      <c r="G76" t="inlineStr">
        <is>
          <t>ARJEPLOG</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25270-2023</t>
        </is>
      </c>
      <c r="B77" t="inlineStr">
        <is>
          <t>avverkningsanmälan</t>
        </is>
      </c>
      <c r="C77" t="inlineStr">
        <is>
          <t>Föryngringsavverkning</t>
        </is>
      </c>
      <c r="D77" s="1" t="n">
        <v>45079</v>
      </c>
      <c r="E77" s="1" t="n">
        <v>46302</v>
      </c>
      <c r="F77" t="inlineStr">
        <is>
          <t>NORRBOTTENS LÄN</t>
        </is>
      </c>
      <c r="G77" t="inlineStr">
        <is>
          <t>ARJEPLOG</t>
        </is>
      </c>
      <c r="H77" t="inlineStr">
        <is>
          <t>Övriga statliga verk och myndigheter</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48987-2025</t>
        </is>
      </c>
      <c r="B78" t="inlineStr">
        <is>
          <t>avverkningsanmälan</t>
        </is>
      </c>
      <c r="C78" t="inlineStr">
        <is>
          <t>Avverkning för annat ändamål</t>
        </is>
      </c>
      <c r="D78" s="1" t="n">
        <v>45937</v>
      </c>
      <c r="E78" s="1" t="n">
        <v>46302</v>
      </c>
      <c r="F78" t="inlineStr">
        <is>
          <t>NORRBOTTENS LÄN</t>
        </is>
      </c>
      <c r="G78" t="inlineStr">
        <is>
          <t>ARJEPLOG</t>
        </is>
      </c>
      <c r="H78" t="inlineStr">
        <is>
          <t>Sveaskog</t>
        </is>
      </c>
      <c r="I78" t="n">
        <v>6.5</v>
      </c>
      <c r="J78" t="n">
        <v>0</v>
      </c>
      <c r="K78" t="n">
        <v>0</v>
      </c>
      <c r="L78" t="n">
        <v>0</v>
      </c>
      <c r="M78" t="n">
        <v>0</v>
      </c>
      <c r="N78" t="n">
        <v>0</v>
      </c>
      <c r="O78" t="n">
        <v>0</v>
      </c>
      <c r="P78" t="n">
        <v>0</v>
      </c>
      <c r="Q78" t="n">
        <v>0</v>
      </c>
      <c r="R78" t="n">
        <v>0</v>
      </c>
      <c r="S78" t="n">
        <v>0</v>
      </c>
      <c r="T78" t="n">
        <v>0</v>
      </c>
      <c r="U78" t="n">
        <v>0</v>
      </c>
      <c r="V78" s="2" t="inlineStr"/>
    </row>
    <row r="79" ht="15" customHeight="1">
      <c r="A79" t="inlineStr">
        <is>
          <t>A 25559-2022</t>
        </is>
      </c>
      <c r="B79" t="inlineStr">
        <is>
          <t>avverkningsanmälan</t>
        </is>
      </c>
      <c r="C79" t="inlineStr">
        <is>
          <t>Föryngringsavverkning</t>
        </is>
      </c>
      <c r="D79" s="1" t="n">
        <v>44732</v>
      </c>
      <c r="E79" s="1" t="n">
        <v>46302</v>
      </c>
      <c r="F79" t="inlineStr">
        <is>
          <t>NORRBOTTENS LÄN</t>
        </is>
      </c>
      <c r="G79" t="inlineStr">
        <is>
          <t>ARJEPLOG</t>
        </is>
      </c>
      <c r="H79" t="inlineStr">
        <is>
          <t>Övriga statliga verk och myndigheter</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29662-2025</t>
        </is>
      </c>
      <c r="B80" t="inlineStr">
        <is>
          <t>avverkningsanmälan</t>
        </is>
      </c>
      <c r="C80" t="inlineStr">
        <is>
          <t>Föryngringsavverkning</t>
        </is>
      </c>
      <c r="D80" s="1" t="n">
        <v>45825</v>
      </c>
      <c r="E80" s="1" t="n">
        <v>46302</v>
      </c>
      <c r="F80" t="inlineStr">
        <is>
          <t>NORRBOTTENS LÄN</t>
        </is>
      </c>
      <c r="G80" t="inlineStr">
        <is>
          <t>ARJEPLOG</t>
        </is>
      </c>
      <c r="H80" t="inlineStr">
        <is>
          <t>Allmännings- och besparingsskogar</t>
        </is>
      </c>
      <c r="I80" t="n">
        <v>23.7</v>
      </c>
      <c r="J80" t="n">
        <v>0</v>
      </c>
      <c r="K80" t="n">
        <v>0</v>
      </c>
      <c r="L80" t="n">
        <v>0</v>
      </c>
      <c r="M80" t="n">
        <v>0</v>
      </c>
      <c r="N80" t="n">
        <v>0</v>
      </c>
      <c r="O80" t="n">
        <v>0</v>
      </c>
      <c r="P80" t="n">
        <v>0</v>
      </c>
      <c r="Q80" t="n">
        <v>0</v>
      </c>
      <c r="R80" t="n">
        <v>0</v>
      </c>
      <c r="S80" t="n">
        <v>0</v>
      </c>
      <c r="T80" t="n">
        <v>0</v>
      </c>
      <c r="U80" t="n">
        <v>0</v>
      </c>
      <c r="V80" s="2" t="inlineStr"/>
    </row>
    <row r="81" ht="15" customHeight="1">
      <c r="A81" t="inlineStr">
        <is>
          <t>A 34426-2025</t>
        </is>
      </c>
      <c r="B81" t="inlineStr">
        <is>
          <t>avverkningsanmälan</t>
        </is>
      </c>
      <c r="C81" t="inlineStr">
        <is>
          <t>Föryngringsavverkning</t>
        </is>
      </c>
      <c r="D81" s="1" t="n">
        <v>45845</v>
      </c>
      <c r="E81" s="1" t="n">
        <v>46302</v>
      </c>
      <c r="F81" t="inlineStr">
        <is>
          <t>NORRBOTTENS LÄN</t>
        </is>
      </c>
      <c r="G81" t="inlineStr">
        <is>
          <t>ARJEPLOG</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20789-2022</t>
        </is>
      </c>
      <c r="B82" t="inlineStr">
        <is>
          <t>avverkningsanmälan</t>
        </is>
      </c>
      <c r="C82" t="inlineStr">
        <is>
          <t>Föryngringsavverkning</t>
        </is>
      </c>
      <c r="D82" s="1" t="n">
        <v>44701</v>
      </c>
      <c r="E82" s="1" t="n">
        <v>46302</v>
      </c>
      <c r="F82" t="inlineStr">
        <is>
          <t>NORRBOTTENS LÄN</t>
        </is>
      </c>
      <c r="G82" t="inlineStr">
        <is>
          <t>ARJEPLOG</t>
        </is>
      </c>
      <c r="I82" t="n">
        <v>20.3</v>
      </c>
      <c r="J82" t="n">
        <v>0</v>
      </c>
      <c r="K82" t="n">
        <v>0</v>
      </c>
      <c r="L82" t="n">
        <v>0</v>
      </c>
      <c r="M82" t="n">
        <v>0</v>
      </c>
      <c r="N82" t="n">
        <v>0</v>
      </c>
      <c r="O82" t="n">
        <v>0</v>
      </c>
      <c r="P82" t="n">
        <v>0</v>
      </c>
      <c r="Q82" t="n">
        <v>0</v>
      </c>
      <c r="R82" t="n">
        <v>0</v>
      </c>
      <c r="S82" t="n">
        <v>0</v>
      </c>
      <c r="T82" t="n">
        <v>0</v>
      </c>
      <c r="U82" t="n">
        <v>0</v>
      </c>
      <c r="V82" s="2" t="inlineStr"/>
    </row>
    <row r="83" ht="15" customHeight="1">
      <c r="A83" t="inlineStr">
        <is>
          <t>A 17536-2023</t>
        </is>
      </c>
      <c r="B83" t="inlineStr">
        <is>
          <t>avverkningsanmälan</t>
        </is>
      </c>
      <c r="C83" t="inlineStr">
        <is>
          <t>Föryngringsavverkning</t>
        </is>
      </c>
      <c r="D83" s="1" t="n">
        <v>45034</v>
      </c>
      <c r="E83" s="1" t="n">
        <v>46302</v>
      </c>
      <c r="F83" t="inlineStr">
        <is>
          <t>NORRBOTTENS LÄN</t>
        </is>
      </c>
      <c r="G83" t="inlineStr">
        <is>
          <t>ARJEPLOG</t>
        </is>
      </c>
      <c r="H83" t="inlineStr">
        <is>
          <t>Övriga statliga verk och myndigheter</t>
        </is>
      </c>
      <c r="I83" t="n">
        <v>20.3</v>
      </c>
      <c r="J83" t="n">
        <v>0</v>
      </c>
      <c r="K83" t="n">
        <v>0</v>
      </c>
      <c r="L83" t="n">
        <v>0</v>
      </c>
      <c r="M83" t="n">
        <v>0</v>
      </c>
      <c r="N83" t="n">
        <v>0</v>
      </c>
      <c r="O83" t="n">
        <v>0</v>
      </c>
      <c r="P83" t="n">
        <v>0</v>
      </c>
      <c r="Q83" t="n">
        <v>0</v>
      </c>
      <c r="R83" t="n">
        <v>0</v>
      </c>
      <c r="S83" t="n">
        <v>0</v>
      </c>
      <c r="T83" t="n">
        <v>0</v>
      </c>
      <c r="U83" t="n">
        <v>0</v>
      </c>
      <c r="V83" s="2" t="inlineStr"/>
    </row>
    <row r="84" ht="15" customHeight="1">
      <c r="A84" t="inlineStr">
        <is>
          <t>A 20319-2026</t>
        </is>
      </c>
      <c r="B84" t="inlineStr">
        <is>
          <t>avverkningsanmälan</t>
        </is>
      </c>
      <c r="C84" t="inlineStr">
        <is>
          <t>Föryngringsavverkning</t>
        </is>
      </c>
      <c r="D84" s="1" t="n">
        <v>46139</v>
      </c>
      <c r="E84" s="1" t="n">
        <v>46302</v>
      </c>
      <c r="F84" t="inlineStr">
        <is>
          <t>NORRBOTTENS LÄN</t>
        </is>
      </c>
      <c r="G84" t="inlineStr">
        <is>
          <t>ARJEPLOG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20326-2026</t>
        </is>
      </c>
      <c r="B85" t="inlineStr">
        <is>
          <t>avverkningsanmälan</t>
        </is>
      </c>
      <c r="C85" t="inlineStr">
        <is>
          <t>Föryngringsavverkning</t>
        </is>
      </c>
      <c r="D85" s="1" t="n">
        <v>46139</v>
      </c>
      <c r="E85" s="1" t="n">
        <v>46302</v>
      </c>
      <c r="F85" t="inlineStr">
        <is>
          <t>NORRBOTTENS LÄN</t>
        </is>
      </c>
      <c r="G85" t="inlineStr">
        <is>
          <t>ARJEPLOG</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59887-2025</t>
        </is>
      </c>
      <c r="B86" t="inlineStr">
        <is>
          <t>avverkningsanmälan</t>
        </is>
      </c>
      <c r="C86" t="inlineStr">
        <is>
          <t>Föryngringsavverkning</t>
        </is>
      </c>
      <c r="D86" s="1" t="n">
        <v>45993</v>
      </c>
      <c r="E86" s="1" t="n">
        <v>46302</v>
      </c>
      <c r="F86" t="inlineStr">
        <is>
          <t>NORRBOTTENS LÄN</t>
        </is>
      </c>
      <c r="G86" t="inlineStr">
        <is>
          <t>ARJEPLOG</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60767-2025</t>
        </is>
      </c>
      <c r="B87" t="inlineStr">
        <is>
          <t>avverkningsanmälan</t>
        </is>
      </c>
      <c r="C87" t="inlineStr">
        <is>
          <t>Föryngringsavverkning</t>
        </is>
      </c>
      <c r="D87" s="1" t="n">
        <v>45999</v>
      </c>
      <c r="E87" s="1" t="n">
        <v>46302</v>
      </c>
      <c r="F87" t="inlineStr">
        <is>
          <t>NORRBOTTENS LÄN</t>
        </is>
      </c>
      <c r="G87" t="inlineStr">
        <is>
          <t>ARJEPLOG</t>
        </is>
      </c>
      <c r="I87" t="n">
        <v>11.3</v>
      </c>
      <c r="J87" t="n">
        <v>0</v>
      </c>
      <c r="K87" t="n">
        <v>0</v>
      </c>
      <c r="L87" t="n">
        <v>0</v>
      </c>
      <c r="M87" t="n">
        <v>0</v>
      </c>
      <c r="N87" t="n">
        <v>0</v>
      </c>
      <c r="O87" t="n">
        <v>0</v>
      </c>
      <c r="P87" t="n">
        <v>0</v>
      </c>
      <c r="Q87" t="n">
        <v>0</v>
      </c>
      <c r="R87" t="n">
        <v>0</v>
      </c>
      <c r="S87" t="n">
        <v>0</v>
      </c>
      <c r="T87" t="n">
        <v>0</v>
      </c>
      <c r="U87" t="n">
        <v>0</v>
      </c>
      <c r="V87" s="2" t="inlineStr"/>
    </row>
    <row r="88" ht="15" customHeight="1">
      <c r="A88" t="inlineStr">
        <is>
          <t>A 60766-2025</t>
        </is>
      </c>
      <c r="B88" t="inlineStr">
        <is>
          <t>avverkningsanmälan</t>
        </is>
      </c>
      <c r="C88" t="inlineStr">
        <is>
          <t>Föryngringsavverkning</t>
        </is>
      </c>
      <c r="D88" s="1" t="n">
        <v>45999</v>
      </c>
      <c r="E88" s="1" t="n">
        <v>46302</v>
      </c>
      <c r="F88" t="inlineStr">
        <is>
          <t>NORRBOTTENS LÄN</t>
        </is>
      </c>
      <c r="G88" t="inlineStr">
        <is>
          <t>ARJEPLOG</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26486-2024</t>
        </is>
      </c>
      <c r="B89" t="inlineStr">
        <is>
          <t>avverkningsanmälan</t>
        </is>
      </c>
      <c r="C89" t="inlineStr">
        <is>
          <t>Föryngringsavverkning</t>
        </is>
      </c>
      <c r="D89" s="1" t="n">
        <v>45469</v>
      </c>
      <c r="E89" s="1" t="n">
        <v>46302</v>
      </c>
      <c r="F89" t="inlineStr">
        <is>
          <t>NORRBOTTENS LÄN</t>
        </is>
      </c>
      <c r="G89" t="inlineStr">
        <is>
          <t>ARJEPLOG</t>
        </is>
      </c>
      <c r="I89" t="n">
        <v>7.1</v>
      </c>
      <c r="J89" t="n">
        <v>0</v>
      </c>
      <c r="K89" t="n">
        <v>0</v>
      </c>
      <c r="L89" t="n">
        <v>0</v>
      </c>
      <c r="M89" t="n">
        <v>0</v>
      </c>
      <c r="N89" t="n">
        <v>0</v>
      </c>
      <c r="O89" t="n">
        <v>0</v>
      </c>
      <c r="P89" t="n">
        <v>0</v>
      </c>
      <c r="Q89" t="n">
        <v>0</v>
      </c>
      <c r="R89" t="n">
        <v>0</v>
      </c>
      <c r="S89" t="n">
        <v>0</v>
      </c>
      <c r="T89" t="n">
        <v>0</v>
      </c>
      <c r="U89" t="n">
        <v>0</v>
      </c>
      <c r="V89" s="2" t="inlineStr"/>
    </row>
    <row r="90" ht="15" customHeight="1">
      <c r="A90" t="inlineStr">
        <is>
          <t>A 26472-2024</t>
        </is>
      </c>
      <c r="B90" t="inlineStr">
        <is>
          <t>avverkningsanmälan</t>
        </is>
      </c>
      <c r="C90" t="inlineStr">
        <is>
          <t>Föryngringsavverkning</t>
        </is>
      </c>
      <c r="D90" s="1" t="n">
        <v>45469</v>
      </c>
      <c r="E90" s="1" t="n">
        <v>46302</v>
      </c>
      <c r="F90" t="inlineStr">
        <is>
          <t>NORRBOTTENS LÄN</t>
        </is>
      </c>
      <c r="G90" t="inlineStr">
        <is>
          <t>ARJEPLOG</t>
        </is>
      </c>
      <c r="I90" t="n">
        <v>8.199999999999999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27092-2022</t>
        </is>
      </c>
      <c r="B91" t="inlineStr">
        <is>
          <t>avverkningsanmälan</t>
        </is>
      </c>
      <c r="C91" t="inlineStr">
        <is>
          <t>Föryngringsavverkning</t>
        </is>
      </c>
      <c r="D91" s="1" t="n">
        <v>44741</v>
      </c>
      <c r="E91" s="1" t="n">
        <v>46302</v>
      </c>
      <c r="F91" t="inlineStr">
        <is>
          <t>NORRBOTTENS LÄN</t>
        </is>
      </c>
      <c r="G91" t="inlineStr">
        <is>
          <t>ARJEPLOG</t>
        </is>
      </c>
      <c r="I91" t="n">
        <v>15.6</v>
      </c>
      <c r="J91" t="n">
        <v>0</v>
      </c>
      <c r="K91" t="n">
        <v>0</v>
      </c>
      <c r="L91" t="n">
        <v>0</v>
      </c>
      <c r="M91" t="n">
        <v>0</v>
      </c>
      <c r="N91" t="n">
        <v>0</v>
      </c>
      <c r="O91" t="n">
        <v>0</v>
      </c>
      <c r="P91" t="n">
        <v>0</v>
      </c>
      <c r="Q91" t="n">
        <v>0</v>
      </c>
      <c r="R91" t="n">
        <v>0</v>
      </c>
      <c r="S91" t="n">
        <v>0</v>
      </c>
      <c r="T91" t="n">
        <v>0</v>
      </c>
      <c r="U91" t="n">
        <v>0</v>
      </c>
      <c r="V91" s="2" t="inlineStr"/>
    </row>
    <row r="92" ht="15" customHeight="1">
      <c r="A92" t="inlineStr">
        <is>
          <t>A 29674-2025</t>
        </is>
      </c>
      <c r="B92" t="inlineStr">
        <is>
          <t>avverkningsanmälan</t>
        </is>
      </c>
      <c r="C92" t="inlineStr">
        <is>
          <t>Föryngringsavverkning</t>
        </is>
      </c>
      <c r="D92" s="1" t="n">
        <v>45825</v>
      </c>
      <c r="E92" s="1" t="n">
        <v>46302</v>
      </c>
      <c r="F92" t="inlineStr">
        <is>
          <t>NORRBOTTENS LÄN</t>
        </is>
      </c>
      <c r="G92" t="inlineStr">
        <is>
          <t>ARJEPLOG</t>
        </is>
      </c>
      <c r="H92" t="inlineStr">
        <is>
          <t>Allmännings- och besparingsskogar</t>
        </is>
      </c>
      <c r="I92" t="n">
        <v>25.1</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23330-2026</t>
        </is>
      </c>
      <c r="B93" t="inlineStr">
        <is>
          <t>avverkningsanmälan</t>
        </is>
      </c>
      <c r="C93" t="inlineStr">
        <is>
          <t>Föryngringsavverkning</t>
        </is>
      </c>
      <c r="D93" s="1" t="n">
        <v>46162</v>
      </c>
      <c r="E93" s="1" t="n">
        <v>46302</v>
      </c>
      <c r="F93" t="inlineStr">
        <is>
          <t>NORRBOTTENS LÄN</t>
        </is>
      </c>
      <c r="G93" t="inlineStr">
        <is>
          <t>ARJEPLOG</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23335-2026</t>
        </is>
      </c>
      <c r="B94" t="inlineStr">
        <is>
          <t>avverkningsanmälan</t>
        </is>
      </c>
      <c r="C94" t="inlineStr">
        <is>
          <t>Föryngringsavverkning</t>
        </is>
      </c>
      <c r="D94" s="1" t="n">
        <v>46162</v>
      </c>
      <c r="E94" s="1" t="n">
        <v>46302</v>
      </c>
      <c r="F94" t="inlineStr">
        <is>
          <t>NORRBOTTENS LÄN</t>
        </is>
      </c>
      <c r="G94" t="inlineStr">
        <is>
          <t>ARJEPLOG</t>
        </is>
      </c>
      <c r="I94" t="n">
        <v>7.7</v>
      </c>
      <c r="J94" t="n">
        <v>0</v>
      </c>
      <c r="K94" t="n">
        <v>0</v>
      </c>
      <c r="L94" t="n">
        <v>0</v>
      </c>
      <c r="M94" t="n">
        <v>0</v>
      </c>
      <c r="N94" t="n">
        <v>0</v>
      </c>
      <c r="O94" t="n">
        <v>0</v>
      </c>
      <c r="P94" t="n">
        <v>0</v>
      </c>
      <c r="Q94" t="n">
        <v>0</v>
      </c>
      <c r="R94" t="n">
        <v>0</v>
      </c>
      <c r="S94" t="n">
        <v>0</v>
      </c>
      <c r="T94" t="n">
        <v>0</v>
      </c>
      <c r="U94" t="n">
        <v>0</v>
      </c>
      <c r="V94" s="2" t="inlineStr"/>
    </row>
    <row r="95" ht="15" customHeight="1">
      <c r="A95" t="inlineStr">
        <is>
          <t>A 53822-2024</t>
        </is>
      </c>
      <c r="B95" t="inlineStr">
        <is>
          <t>avverkningsanmälan</t>
        </is>
      </c>
      <c r="C95" t="inlineStr">
        <is>
          <t>Föryngringsavverkning</t>
        </is>
      </c>
      <c r="D95" s="1" t="n">
        <v>45614</v>
      </c>
      <c r="E95" s="1" t="n">
        <v>46302</v>
      </c>
      <c r="F95" t="inlineStr">
        <is>
          <t>NORRBOTTENS LÄN</t>
        </is>
      </c>
      <c r="G95" t="inlineStr">
        <is>
          <t>ARJEPLOG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26479-2024</t>
        </is>
      </c>
      <c r="B96" t="inlineStr">
        <is>
          <t>avverkningsanmälan</t>
        </is>
      </c>
      <c r="C96" t="inlineStr">
        <is>
          <t>Föryngringsavverkning</t>
        </is>
      </c>
      <c r="D96" s="1" t="n">
        <v>45468</v>
      </c>
      <c r="E96" s="1" t="n">
        <v>46302</v>
      </c>
      <c r="F96" t="inlineStr">
        <is>
          <t>NORRBOTTENS LÄN</t>
        </is>
      </c>
      <c r="G96" t="inlineStr">
        <is>
          <t>ARJEPLOG</t>
        </is>
      </c>
      <c r="I96" t="n">
        <v>6.9</v>
      </c>
      <c r="J96" t="n">
        <v>0</v>
      </c>
      <c r="K96" t="n">
        <v>0</v>
      </c>
      <c r="L96" t="n">
        <v>0</v>
      </c>
      <c r="M96" t="n">
        <v>0</v>
      </c>
      <c r="N96" t="n">
        <v>0</v>
      </c>
      <c r="O96" t="n">
        <v>0</v>
      </c>
      <c r="P96" t="n">
        <v>0</v>
      </c>
      <c r="Q96" t="n">
        <v>0</v>
      </c>
      <c r="R96" t="n">
        <v>0</v>
      </c>
      <c r="S96" t="n">
        <v>0</v>
      </c>
      <c r="T96" t="n">
        <v>0</v>
      </c>
      <c r="U96" t="n">
        <v>0</v>
      </c>
      <c r="V96" s="2" t="inlineStr"/>
    </row>
    <row r="97" ht="15" customHeight="1">
      <c r="A97" t="inlineStr">
        <is>
          <t>A 26048-2026</t>
        </is>
      </c>
      <c r="B97" t="inlineStr">
        <is>
          <t>avverkningsanmälan</t>
        </is>
      </c>
      <c r="C97" t="inlineStr">
        <is>
          <t>Föryngringsavverkning</t>
        </is>
      </c>
      <c r="D97" s="1" t="n">
        <v>46181</v>
      </c>
      <c r="E97" s="1" t="n">
        <v>46302</v>
      </c>
      <c r="F97" t="inlineStr">
        <is>
          <t>NORRBOTTENS LÄN</t>
        </is>
      </c>
      <c r="G97" t="inlineStr">
        <is>
          <t>ARJEPLOG</t>
        </is>
      </c>
      <c r="I97" t="n">
        <v>16.9</v>
      </c>
      <c r="J97" t="n">
        <v>0</v>
      </c>
      <c r="K97" t="n">
        <v>0</v>
      </c>
      <c r="L97" t="n">
        <v>0</v>
      </c>
      <c r="M97" t="n">
        <v>0</v>
      </c>
      <c r="N97" t="n">
        <v>0</v>
      </c>
      <c r="O97" t="n">
        <v>0</v>
      </c>
      <c r="P97" t="n">
        <v>0</v>
      </c>
      <c r="Q97" t="n">
        <v>0</v>
      </c>
      <c r="R97" t="n">
        <v>0</v>
      </c>
      <c r="S97" t="n">
        <v>0</v>
      </c>
      <c r="T97" t="n">
        <v>0</v>
      </c>
      <c r="U97" t="n">
        <v>0</v>
      </c>
      <c r="V97" s="2" t="inlineStr"/>
    </row>
    <row r="98" ht="15" customHeight="1">
      <c r="A98" t="inlineStr">
        <is>
          <t>A 27102-2026</t>
        </is>
      </c>
      <c r="B98" t="inlineStr">
        <is>
          <t>avverkningsanmälan</t>
        </is>
      </c>
      <c r="C98" t="inlineStr">
        <is>
          <t>Avverkning för annat ändamål</t>
        </is>
      </c>
      <c r="D98" s="1" t="n">
        <v>46188</v>
      </c>
      <c r="E98" s="1" t="n">
        <v>46302</v>
      </c>
      <c r="F98" t="inlineStr">
        <is>
          <t>NORRBOTTENS LÄN</t>
        </is>
      </c>
      <c r="G98" t="inlineStr">
        <is>
          <t>ARJEPLOG</t>
        </is>
      </c>
      <c r="H98" t="inlineStr">
        <is>
          <t>Sveaskog</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64816-2023</t>
        </is>
      </c>
      <c r="B99" t="inlineStr">
        <is>
          <t>avverkningsanmälan</t>
        </is>
      </c>
      <c r="C99" t="inlineStr">
        <is>
          <t>Föryngringsavverkning</t>
        </is>
      </c>
      <c r="D99" s="1" t="n">
        <v>45281</v>
      </c>
      <c r="E99" s="1" t="n">
        <v>46302</v>
      </c>
      <c r="F99" t="inlineStr">
        <is>
          <t>NORRBOTTENS LÄN</t>
        </is>
      </c>
      <c r="G99" t="inlineStr">
        <is>
          <t>ARJEPLOG</t>
        </is>
      </c>
      <c r="I99" t="n">
        <v>13.4</v>
      </c>
      <c r="J99" t="n">
        <v>0</v>
      </c>
      <c r="K99" t="n">
        <v>0</v>
      </c>
      <c r="L99" t="n">
        <v>0</v>
      </c>
      <c r="M99" t="n">
        <v>0</v>
      </c>
      <c r="N99" t="n">
        <v>0</v>
      </c>
      <c r="O99" t="n">
        <v>0</v>
      </c>
      <c r="P99" t="n">
        <v>0</v>
      </c>
      <c r="Q99" t="n">
        <v>0</v>
      </c>
      <c r="R99" t="n">
        <v>0</v>
      </c>
      <c r="S99" t="n">
        <v>0</v>
      </c>
      <c r="T99" t="n">
        <v>0</v>
      </c>
      <c r="U99" t="n">
        <v>0</v>
      </c>
      <c r="V99" s="2" t="inlineStr"/>
    </row>
    <row r="100" ht="15" customHeight="1">
      <c r="A100" t="inlineStr">
        <is>
          <t>A 28354-2022</t>
        </is>
      </c>
      <c r="B100" t="inlineStr">
        <is>
          <t>avverkningsanmälan</t>
        </is>
      </c>
      <c r="C100" t="inlineStr">
        <is>
          <t>Avverkning för annat ändamål</t>
        </is>
      </c>
      <c r="D100" s="1" t="n">
        <v>44735</v>
      </c>
      <c r="E100" s="1" t="n">
        <v>46302</v>
      </c>
      <c r="F100" t="inlineStr">
        <is>
          <t>NORRBOTTENS LÄN</t>
        </is>
      </c>
      <c r="G100" t="inlineStr">
        <is>
          <t>ARJEPLOG</t>
        </is>
      </c>
      <c r="H100" t="inlineStr">
        <is>
          <t>Övriga statliga verk och myndigheter</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28799-2026</t>
        </is>
      </c>
      <c r="B101" t="inlineStr">
        <is>
          <t>avverkningsanmälan</t>
        </is>
      </c>
      <c r="C101" t="inlineStr">
        <is>
          <t>Föryngringsavverkning</t>
        </is>
      </c>
      <c r="D101" s="1" t="n">
        <v>46198</v>
      </c>
      <c r="E101" s="1" t="n">
        <v>46302</v>
      </c>
      <c r="F101" t="inlineStr">
        <is>
          <t>NORRBOTTENS LÄN</t>
        </is>
      </c>
      <c r="G101" t="inlineStr">
        <is>
          <t>ARJEPLOG</t>
        </is>
      </c>
      <c r="H101" t="inlineStr">
        <is>
          <t>Allmännings- och besparingsskogar</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28804-2026</t>
        </is>
      </c>
      <c r="B102" t="inlineStr">
        <is>
          <t>avverkningsanmälan</t>
        </is>
      </c>
      <c r="C102" t="inlineStr">
        <is>
          <t>Föryngringsavverkning</t>
        </is>
      </c>
      <c r="D102" s="1" t="n">
        <v>46198</v>
      </c>
      <c r="E102" s="1" t="n">
        <v>46302</v>
      </c>
      <c r="F102" t="inlineStr">
        <is>
          <t>NORRBOTTENS LÄN</t>
        </is>
      </c>
      <c r="G102" t="inlineStr">
        <is>
          <t>ARJEPLOG</t>
        </is>
      </c>
      <c r="H102" t="inlineStr">
        <is>
          <t>Allmännings- och besparingsskogar</t>
        </is>
      </c>
      <c r="I102" t="n">
        <v>11.5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28560-2026</t>
        </is>
      </c>
      <c r="B103" t="inlineStr">
        <is>
          <t>avverkningsanmälan</t>
        </is>
      </c>
      <c r="C103" t="inlineStr">
        <is>
          <t>Föryngringsavverkning</t>
        </is>
      </c>
      <c r="D103" s="1" t="n">
        <v>46197</v>
      </c>
      <c r="E103" s="1" t="n">
        <v>46302</v>
      </c>
      <c r="F103" t="inlineStr">
        <is>
          <t>NORRBOTTENS LÄN</t>
        </is>
      </c>
      <c r="G103" t="inlineStr">
        <is>
          <t>ARJEPLOG</t>
        </is>
      </c>
      <c r="H103" t="inlineStr">
        <is>
          <t>Allmännings- och besparingsskogar</t>
        </is>
      </c>
      <c r="I103" t="n">
        <v>14.2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44218-2023</t>
        </is>
      </c>
      <c r="B104" t="inlineStr">
        <is>
          <t>avverkningsanmälan</t>
        </is>
      </c>
      <c r="C104" t="inlineStr">
        <is>
          <t>Avverkning för annat ändamål</t>
        </is>
      </c>
      <c r="D104" s="1" t="n">
        <v>45183</v>
      </c>
      <c r="E104" s="1" t="n">
        <v>46302</v>
      </c>
      <c r="F104" t="inlineStr">
        <is>
          <t>NORRBOTTENS LÄN</t>
        </is>
      </c>
      <c r="G104" t="inlineStr">
        <is>
          <t>ARJEPLOG</t>
        </is>
      </c>
      <c r="H104" t="inlineStr">
        <is>
          <t>Allmännings- och besparingsskogar</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27836-2026</t>
        </is>
      </c>
      <c r="B105" t="inlineStr">
        <is>
          <t>avverkningsanmälan</t>
        </is>
      </c>
      <c r="C105" t="inlineStr">
        <is>
          <t>Avverkning för annat ändamål</t>
        </is>
      </c>
      <c r="D105" s="1" t="n">
        <v>46189</v>
      </c>
      <c r="E105" s="1" t="n">
        <v>46302</v>
      </c>
      <c r="F105" t="inlineStr">
        <is>
          <t>NORRBOTTENS LÄN</t>
        </is>
      </c>
      <c r="G105" t="inlineStr">
        <is>
          <t>ARJEPLOG</t>
        </is>
      </c>
      <c r="H105" t="inlineStr">
        <is>
          <t>Sveaskog</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28679-2026</t>
        </is>
      </c>
      <c r="B106" t="inlineStr">
        <is>
          <t>avverkningsanmälan</t>
        </is>
      </c>
      <c r="C106" t="inlineStr">
        <is>
          <t>Föryngringsavverkning</t>
        </is>
      </c>
      <c r="D106" s="1" t="n">
        <v>46198</v>
      </c>
      <c r="E106" s="1" t="n">
        <v>46302</v>
      </c>
      <c r="F106" t="inlineStr">
        <is>
          <t>NORRBOTTENS LÄN</t>
        </is>
      </c>
      <c r="G106" t="inlineStr">
        <is>
          <t>ARJEPLOG</t>
        </is>
      </c>
      <c r="H106" t="inlineStr">
        <is>
          <t>Allmännings- och besparingsskogar</t>
        </is>
      </c>
      <c r="I106" t="n">
        <v>17.2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28787-2026</t>
        </is>
      </c>
      <c r="B107" t="inlineStr">
        <is>
          <t>avverkningsanmälan</t>
        </is>
      </c>
      <c r="C107" t="inlineStr">
        <is>
          <t>Föryngringsavverkning</t>
        </is>
      </c>
      <c r="D107" s="1" t="n">
        <v>46198</v>
      </c>
      <c r="E107" s="1" t="n">
        <v>46302</v>
      </c>
      <c r="F107" t="inlineStr">
        <is>
          <t>NORRBOTTENS LÄN</t>
        </is>
      </c>
      <c r="G107" t="inlineStr">
        <is>
          <t>ARJEPLOG</t>
        </is>
      </c>
      <c r="H107" t="inlineStr">
        <is>
          <t>Allmännings- och besparingsskogar</t>
        </is>
      </c>
      <c r="I107" t="n">
        <v>13.3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28532-2026</t>
        </is>
      </c>
      <c r="B108" t="inlineStr">
        <is>
          <t>avverkningsanmälan</t>
        </is>
      </c>
      <c r="C108" t="inlineStr">
        <is>
          <t>Avverkning för annat ändamål</t>
        </is>
      </c>
      <c r="D108" s="1" t="n">
        <v>46197</v>
      </c>
      <c r="E108" s="1" t="n">
        <v>46302</v>
      </c>
      <c r="F108" t="inlineStr">
        <is>
          <t>NORRBOTTENS LÄN</t>
        </is>
      </c>
      <c r="G108" t="inlineStr">
        <is>
          <t>ARJEPLOG</t>
        </is>
      </c>
      <c r="H108" t="inlineStr">
        <is>
          <t>Allmännings- och besparingsskogar</t>
        </is>
      </c>
      <c r="I108" t="n">
        <v>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56754-2024</t>
        </is>
      </c>
      <c r="B109" t="inlineStr">
        <is>
          <t>avverkningsanmälan</t>
        </is>
      </c>
      <c r="C109" t="inlineStr">
        <is>
          <t>Föryngringsavverkning</t>
        </is>
      </c>
      <c r="D109" s="1" t="n">
        <v>45625</v>
      </c>
      <c r="E109" s="1" t="n">
        <v>46302</v>
      </c>
      <c r="F109" t="inlineStr">
        <is>
          <t>NORRBOTTENS LÄN</t>
        </is>
      </c>
      <c r="G109" t="inlineStr">
        <is>
          <t>ARJEPLOG</t>
        </is>
      </c>
      <c r="I109" t="n">
        <v>11.5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28551-2026</t>
        </is>
      </c>
      <c r="B110" t="inlineStr">
        <is>
          <t>avverkningsanmälan</t>
        </is>
      </c>
      <c r="C110" t="inlineStr">
        <is>
          <t>Föryngringsavverkning</t>
        </is>
      </c>
      <c r="D110" s="1" t="n">
        <v>46197</v>
      </c>
      <c r="E110" s="1" t="n">
        <v>46302</v>
      </c>
      <c r="F110" t="inlineStr">
        <is>
          <t>NORRBOTTENS LÄN</t>
        </is>
      </c>
      <c r="G110" t="inlineStr">
        <is>
          <t>ARJEPLOG</t>
        </is>
      </c>
      <c r="H110" t="inlineStr">
        <is>
          <t>Allmännings- och besparingsskogar</t>
        </is>
      </c>
      <c r="I110" t="n">
        <v>22.9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61729-2024</t>
        </is>
      </c>
      <c r="B111" t="inlineStr">
        <is>
          <t>avverkningsanmälan</t>
        </is>
      </c>
      <c r="C111" t="inlineStr">
        <is>
          <t>Avverkning för annat ändamål</t>
        </is>
      </c>
      <c r="D111" s="1" t="n">
        <v>45649</v>
      </c>
      <c r="E111" s="1" t="n">
        <v>46302</v>
      </c>
      <c r="F111" t="inlineStr">
        <is>
          <t>NORRBOTTENS LÄN</t>
        </is>
      </c>
      <c r="G111" t="inlineStr">
        <is>
          <t>ARJEPLOG</t>
        </is>
      </c>
      <c r="H111" t="inlineStr">
        <is>
          <t>Övriga statliga verk och myndigheter</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36006-2026</t>
        </is>
      </c>
      <c r="B112" t="inlineStr">
        <is>
          <t>avverkningsanmälan</t>
        </is>
      </c>
      <c r="C112" t="inlineStr">
        <is>
          <t>Avverkning för annat ändamål</t>
        </is>
      </c>
      <c r="D112" s="1" t="n">
        <v>46266</v>
      </c>
      <c r="E112" s="1" t="n">
        <v>46302</v>
      </c>
      <c r="F112" t="inlineStr">
        <is>
          <t>NORRBOTTENS LÄN</t>
        </is>
      </c>
      <c r="G112" t="inlineStr">
        <is>
          <t>ARJEPLOG</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26811-2022</t>
        </is>
      </c>
      <c r="B113" t="inlineStr">
        <is>
          <t>avverkningsanmälan</t>
        </is>
      </c>
      <c r="C113" t="inlineStr">
        <is>
          <t>Avverkning för annat ändamål</t>
        </is>
      </c>
      <c r="D113" s="1" t="n">
        <v>44735</v>
      </c>
      <c r="E113" s="1" t="n">
        <v>46302</v>
      </c>
      <c r="F113" t="inlineStr">
        <is>
          <t>NORRBOTTENS LÄN</t>
        </is>
      </c>
      <c r="G113" t="inlineStr">
        <is>
          <t>ARJEPLOG</t>
        </is>
      </c>
      <c r="H113" t="inlineStr">
        <is>
          <t>Övriga statliga verk och myndigheter</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390-2026</t>
        </is>
      </c>
      <c r="B114" t="inlineStr">
        <is>
          <t>avverkningsanmälan</t>
        </is>
      </c>
      <c r="C114" t="inlineStr">
        <is>
          <t>Föryngringsavverkning</t>
        </is>
      </c>
      <c r="D114" s="1" t="n">
        <v>46028</v>
      </c>
      <c r="E114" s="1" t="n">
        <v>46302</v>
      </c>
      <c r="F114" t="inlineStr">
        <is>
          <t>NORRBOTTENS LÄN</t>
        </is>
      </c>
      <c r="G114" t="inlineStr">
        <is>
          <t>ARJEPLOG</t>
        </is>
      </c>
      <c r="I114" t="n">
        <v>19.5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36470-2026</t>
        </is>
      </c>
      <c r="B115" t="inlineStr">
        <is>
          <t>avverkningsanmälan</t>
        </is>
      </c>
      <c r="C115" t="inlineStr">
        <is>
          <t>Föryngringsavverkning</t>
        </is>
      </c>
      <c r="D115" s="1" t="n">
        <v>46269</v>
      </c>
      <c r="E115" s="1" t="n">
        <v>46302</v>
      </c>
      <c r="F115" t="inlineStr">
        <is>
          <t>NORRBOTTENS LÄN</t>
        </is>
      </c>
      <c r="G115" t="inlineStr">
        <is>
          <t>ARJEPLOG</t>
        </is>
      </c>
      <c r="H115" t="inlineStr">
        <is>
          <t>Sveaskog</t>
        </is>
      </c>
      <c r="I115" t="n">
        <v>13.9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52581-2022</t>
        </is>
      </c>
      <c r="B116" t="inlineStr">
        <is>
          <t>avverkningsanmälan</t>
        </is>
      </c>
      <c r="C116" t="inlineStr">
        <is>
          <t>Föryngringsavverkning</t>
        </is>
      </c>
      <c r="D116" s="1" t="n">
        <v>44874</v>
      </c>
      <c r="E116" s="1" t="n">
        <v>46302</v>
      </c>
      <c r="F116" t="inlineStr">
        <is>
          <t>NORRBOTTENS LÄN</t>
        </is>
      </c>
      <c r="G116" t="inlineStr">
        <is>
          <t>ARJEPLOG</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25440-2024</t>
        </is>
      </c>
      <c r="B117" t="inlineStr">
        <is>
          <t>avverkningsanmälan</t>
        </is>
      </c>
      <c r="C117" t="inlineStr">
        <is>
          <t>Föryngringsavverkning</t>
        </is>
      </c>
      <c r="D117" s="1" t="n">
        <v>45463</v>
      </c>
      <c r="E117" s="1" t="n">
        <v>46302</v>
      </c>
      <c r="F117" t="inlineStr">
        <is>
          <t>NORRBOTTENS LÄN</t>
        </is>
      </c>
      <c r="G117" t="inlineStr">
        <is>
          <t>ARJEPLOG</t>
        </is>
      </c>
      <c r="H117" t="inlineStr">
        <is>
          <t>Allmännings- och besparingsskogar</t>
        </is>
      </c>
      <c r="I117" t="n">
        <v>30.7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26103-2024</t>
        </is>
      </c>
      <c r="B118" t="inlineStr">
        <is>
          <t>avverkningsanmälan</t>
        </is>
      </c>
      <c r="C118" t="inlineStr">
        <is>
          <t>Föryngringsavverkning</t>
        </is>
      </c>
      <c r="D118" s="1" t="n">
        <v>45467</v>
      </c>
      <c r="E118" s="1" t="n">
        <v>46302</v>
      </c>
      <c r="F118" t="inlineStr">
        <is>
          <t>NORRBOTTENS LÄN</t>
        </is>
      </c>
      <c r="G118" t="inlineStr">
        <is>
          <t>ARJEPLOG</t>
        </is>
      </c>
      <c r="I118" t="n">
        <v>17.2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64832-2023</t>
        </is>
      </c>
      <c r="B119" t="inlineStr">
        <is>
          <t>avverkningsanmälan</t>
        </is>
      </c>
      <c r="C119" t="inlineStr">
        <is>
          <t>Föryngringsavverkning</t>
        </is>
      </c>
      <c r="D119" s="1" t="n">
        <v>45281</v>
      </c>
      <c r="E119" s="1" t="n">
        <v>46302</v>
      </c>
      <c r="F119" t="inlineStr">
        <is>
          <t>NORRBOTTENS LÄN</t>
        </is>
      </c>
      <c r="G119" t="inlineStr">
        <is>
          <t>ARJEPLOG</t>
        </is>
      </c>
      <c r="I119" t="n">
        <v>43.6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39456-2026</t>
        </is>
      </c>
      <c r="B120" t="inlineStr">
        <is>
          <t>avverkningsanmälan</t>
        </is>
      </c>
      <c r="C120" t="inlineStr">
        <is>
          <t>Föryngringsavverkning</t>
        </is>
      </c>
      <c r="D120" s="1" t="n">
        <v>46288</v>
      </c>
      <c r="E120" s="1" t="n">
        <v>46302</v>
      </c>
      <c r="F120" t="inlineStr">
        <is>
          <t>NORRBOTTENS LÄN</t>
        </is>
      </c>
      <c r="G120" t="inlineStr">
        <is>
          <t>ARJEPLOG</t>
        </is>
      </c>
      <c r="I120" t="n">
        <v>16.2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38823-2026</t>
        </is>
      </c>
      <c r="B121" t="inlineStr">
        <is>
          <t>avverkningsanmälan</t>
        </is>
      </c>
      <c r="C121" t="inlineStr">
        <is>
          <t>Avverkning för annat ändamål</t>
        </is>
      </c>
      <c r="D121" s="1" t="n">
        <v>46286</v>
      </c>
      <c r="E121" s="1" t="n">
        <v>46302</v>
      </c>
      <c r="F121" t="inlineStr">
        <is>
          <t>NORRBOTTENS LÄN</t>
        </is>
      </c>
      <c r="G121" t="inlineStr">
        <is>
          <t>ARJEPLOG</t>
        </is>
      </c>
      <c r="H121" t="inlineStr">
        <is>
          <t>Kyrkan</t>
        </is>
      </c>
      <c r="I121" t="n">
        <v>9.199999999999999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20322-2026</t>
        </is>
      </c>
      <c r="B122" t="inlineStr">
        <is>
          <t>avverkningsanmälan</t>
        </is>
      </c>
      <c r="C122" t="inlineStr">
        <is>
          <t>Föryngringsavverkning</t>
        </is>
      </c>
      <c r="D122" s="1" t="n">
        <v>46139</v>
      </c>
      <c r="E122" s="1" t="n">
        <v>46302</v>
      </c>
      <c r="F122" t="inlineStr">
        <is>
          <t>NORRBOTTENS LÄN</t>
        </is>
      </c>
      <c r="G122" t="inlineStr">
        <is>
          <t>ARJEPLOG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12409-2025</t>
        </is>
      </c>
      <c r="B123" t="inlineStr">
        <is>
          <t>avverkningsanmälan</t>
        </is>
      </c>
      <c r="C123" t="inlineStr">
        <is>
          <t>Föryngringsavverkning</t>
        </is>
      </c>
      <c r="D123" s="1" t="n">
        <v>45730</v>
      </c>
      <c r="E123" s="1" t="n">
        <v>46302</v>
      </c>
      <c r="F123" t="inlineStr">
        <is>
          <t>NORRBOTTENS LÄN</t>
        </is>
      </c>
      <c r="G123" t="inlineStr">
        <is>
          <t>ARJEPLOG</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33993-2026</t>
        </is>
      </c>
      <c r="B124" t="inlineStr">
        <is>
          <t>avverkningsanmälan</t>
        </is>
      </c>
      <c r="C124" t="inlineStr">
        <is>
          <t>Avverkning för annat ändamål</t>
        </is>
      </c>
      <c r="D124" s="1" t="n">
        <v>46252</v>
      </c>
      <c r="E124" s="1" t="n">
        <v>46302</v>
      </c>
      <c r="F124" t="inlineStr">
        <is>
          <t>NORRBOTTENS LÄN</t>
        </is>
      </c>
      <c r="G124" t="inlineStr">
        <is>
          <t>ARJEPLOG</t>
        </is>
      </c>
      <c r="H124" t="inlineStr">
        <is>
          <t>Sveaskog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35194-2024</t>
        </is>
      </c>
      <c r="B125" t="inlineStr">
        <is>
          <t>avverkningsanmälan</t>
        </is>
      </c>
      <c r="C125" t="inlineStr">
        <is>
          <t>Föryngringsavverkning</t>
        </is>
      </c>
      <c r="D125" s="1" t="n">
        <v>45530</v>
      </c>
      <c r="E125" s="1" t="n">
        <v>46302</v>
      </c>
      <c r="F125" t="inlineStr">
        <is>
          <t>NORRBOTTENS LÄN</t>
        </is>
      </c>
      <c r="G125" t="inlineStr">
        <is>
          <t>ARJEPLOG</t>
        </is>
      </c>
      <c r="I125" t="n">
        <v>20.1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36623-2023</t>
        </is>
      </c>
      <c r="B126" t="inlineStr">
        <is>
          <t>avverkningsanmälan</t>
        </is>
      </c>
      <c r="C126" t="inlineStr">
        <is>
          <t>Föryngringsavverkning</t>
        </is>
      </c>
      <c r="D126" s="1" t="n">
        <v>45153</v>
      </c>
      <c r="E126" s="1" t="n">
        <v>46302</v>
      </c>
      <c r="F126" t="inlineStr">
        <is>
          <t>NORRBOTTENS LÄN</t>
        </is>
      </c>
      <c r="G126" t="inlineStr">
        <is>
          <t>ARJEPLOG</t>
        </is>
      </c>
      <c r="H126" t="inlineStr">
        <is>
          <t>Sveaskog</t>
        </is>
      </c>
      <c r="I126" t="n">
        <v>16.9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64840-2023</t>
        </is>
      </c>
      <c r="B127" t="inlineStr">
        <is>
          <t>avverkningsanmälan</t>
        </is>
      </c>
      <c r="C127" t="inlineStr">
        <is>
          <t>Föryngringsavverkning</t>
        </is>
      </c>
      <c r="D127" s="1" t="n">
        <v>45281</v>
      </c>
      <c r="E127" s="1" t="n">
        <v>46302</v>
      </c>
      <c r="F127" t="inlineStr">
        <is>
          <t>NORRBOTTENS LÄN</t>
        </is>
      </c>
      <c r="G127" t="inlineStr">
        <is>
          <t>ARJEPLOG</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56785-2024</t>
        </is>
      </c>
      <c r="B128" t="inlineStr">
        <is>
          <t>avverkningsanmälan</t>
        </is>
      </c>
      <c r="C128" t="inlineStr">
        <is>
          <t>Föryngringsavverkning</t>
        </is>
      </c>
      <c r="D128" s="1" t="n">
        <v>45625</v>
      </c>
      <c r="E128" s="1" t="n">
        <v>46302</v>
      </c>
      <c r="F128" t="inlineStr">
        <is>
          <t>NORRBOTTENS LÄN</t>
        </is>
      </c>
      <c r="G128" t="inlineStr">
        <is>
          <t>ARJEPLOG</t>
        </is>
      </c>
      <c r="I128" t="n">
        <v>11.2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56800-2024</t>
        </is>
      </c>
      <c r="B129" t="inlineStr">
        <is>
          <t>avverkningsanmälan</t>
        </is>
      </c>
      <c r="C129" t="inlineStr">
        <is>
          <t>Föryngringsavverkning</t>
        </is>
      </c>
      <c r="D129" s="1" t="n">
        <v>45625</v>
      </c>
      <c r="E129" s="1" t="n">
        <v>46302</v>
      </c>
      <c r="F129" t="inlineStr">
        <is>
          <t>NORRBOTTENS LÄN</t>
        </is>
      </c>
      <c r="G129" t="inlineStr">
        <is>
          <t>ARJEPLOG</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56794-2024</t>
        </is>
      </c>
      <c r="B130" t="inlineStr">
        <is>
          <t>avverkningsanmälan</t>
        </is>
      </c>
      <c r="C130" t="inlineStr">
        <is>
          <t>Föryngringsavverkning</t>
        </is>
      </c>
      <c r="D130" s="1" t="n">
        <v>45625</v>
      </c>
      <c r="E130" s="1" t="n">
        <v>46302</v>
      </c>
      <c r="F130" t="inlineStr">
        <is>
          <t>NORRBOTTENS LÄN</t>
        </is>
      </c>
      <c r="G130" t="inlineStr">
        <is>
          <t>ARJEPLOG</t>
        </is>
      </c>
      <c r="I130" t="n">
        <v>7.5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56782-2024</t>
        </is>
      </c>
      <c r="B131" t="inlineStr">
        <is>
          <t>avverkningsanmälan</t>
        </is>
      </c>
      <c r="C131" t="inlineStr">
        <is>
          <t>Föryngringsavverkning</t>
        </is>
      </c>
      <c r="D131" s="1" t="n">
        <v>45625</v>
      </c>
      <c r="E131" s="1" t="n">
        <v>46302</v>
      </c>
      <c r="F131" t="inlineStr">
        <is>
          <t>NORRBOTTENS LÄN</t>
        </is>
      </c>
      <c r="G131" t="inlineStr">
        <is>
          <t>ARJEPLOG</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42274-2022</t>
        </is>
      </c>
      <c r="B132" t="inlineStr">
        <is>
          <t>avverkningsanmälan</t>
        </is>
      </c>
      <c r="C132" t="inlineStr">
        <is>
          <t>Föryngringsavverkning</t>
        </is>
      </c>
      <c r="D132" s="1" t="n">
        <v>44830</v>
      </c>
      <c r="E132" s="1" t="n">
        <v>46302</v>
      </c>
      <c r="F132" t="inlineStr">
        <is>
          <t>NORRBOTTENS LÄN</t>
        </is>
      </c>
      <c r="G132" t="inlineStr">
        <is>
          <t>ARJEPLOG</t>
        </is>
      </c>
      <c r="H132" t="inlineStr">
        <is>
          <t>SCA</t>
        </is>
      </c>
      <c r="I132" t="n">
        <v>6.5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56276-2021</t>
        </is>
      </c>
      <c r="B133" t="inlineStr">
        <is>
          <t>avverkningsanmälan</t>
        </is>
      </c>
      <c r="C133" t="inlineStr">
        <is>
          <t>Avverkning för annat ändamål</t>
        </is>
      </c>
      <c r="D133" s="1" t="n">
        <v>44479</v>
      </c>
      <c r="E133" s="1" t="n">
        <v>46302</v>
      </c>
      <c r="F133" t="inlineStr">
        <is>
          <t>NORRBOTTENS LÄN</t>
        </is>
      </c>
      <c r="G133" t="inlineStr">
        <is>
          <t>ARJEPLOG</t>
        </is>
      </c>
      <c r="I133" t="n">
        <v>19.8</v>
      </c>
      <c r="J133" t="n">
        <v>0</v>
      </c>
      <c r="K133" t="n">
        <v>0</v>
      </c>
      <c r="L133" t="n">
        <v>0</v>
      </c>
      <c r="M133" t="n">
        <v>0</v>
      </c>
      <c r="N133" t="n">
        <v>0</v>
      </c>
      <c r="O133" t="n">
        <v>0</v>
      </c>
      <c r="P133" t="n">
        <v>0</v>
      </c>
      <c r="Q133" t="n">
        <v>0</v>
      </c>
      <c r="R133" t="n">
        <v>0</v>
      </c>
      <c r="S133" t="n">
        <v>0</v>
      </c>
      <c r="T133" t="n">
        <v>0</v>
      </c>
      <c r="U133" t="n">
        <v>0</v>
      </c>
      <c r="V133" s="2" t="inlineStr"/>
    </row>
    <row r="134">
      <c r="A134" t="inlineStr">
        <is>
          <t>S 1086-2023</t>
        </is>
      </c>
      <c r="B134" t="inlineStr">
        <is>
          <t>samrådsanmälan</t>
        </is>
      </c>
      <c r="C134" t="inlineStr">
        <is>
          <t>Skogsgödsling</t>
        </is>
      </c>
      <c r="D134" s="1" t="n">
        <v>45013</v>
      </c>
      <c r="E134" s="1" t="n">
        <v>46302</v>
      </c>
      <c r="F134" t="inlineStr">
        <is>
          <t>NORRBOTTENS LÄN</t>
        </is>
      </c>
      <c r="G134" t="inlineStr">
        <is>
          <t>ARJEPLOG</t>
        </is>
      </c>
      <c r="H134" t="inlineStr">
        <is>
          <t>SCA</t>
        </is>
      </c>
      <c r="I134" t="n">
        <v>24.2</v>
      </c>
      <c r="J134" t="n">
        <v>0</v>
      </c>
      <c r="K134" t="n">
        <v>0</v>
      </c>
      <c r="L134" t="n">
        <v>0</v>
      </c>
      <c r="M134" t="n">
        <v>0</v>
      </c>
      <c r="N134" t="n">
        <v>0</v>
      </c>
      <c r="O134" t="n">
        <v>0</v>
      </c>
      <c r="P134" t="n">
        <v>0</v>
      </c>
      <c r="Q134" t="n">
        <v>0</v>
      </c>
      <c r="R134" t="n">
        <v>0</v>
      </c>
      <c r="S134" t="n">
        <v>0</v>
      </c>
      <c r="T134" t="n">
        <v>0</v>
      </c>
      <c r="U134" t="n">
        <v>0</v>
      </c>
      <c r="V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2026-10-07T02:05:50Z</dcterms:created>
  <dcterms:modified xmlns:dcterms="http://purl.org/dc/terms/" xmlns:xsi="http://www.w3.org/2001/XMLSchema-instance" xsi:type="dcterms:W3CDTF">2026-10-07T02:05:50Z</dcterms:modified>
</cp:coreProperties>
</file>