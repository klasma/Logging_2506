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45908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45908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45908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45908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45908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45908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45908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45908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45908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45908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45908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45908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45908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45908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45908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45908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45908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15171-2022</t>
        </is>
      </c>
      <c r="B19" s="1" t="n">
        <v>44658</v>
      </c>
      <c r="C19" s="1" t="n">
        <v>45908</v>
      </c>
      <c r="D19" t="inlineStr">
        <is>
          <t>NORRBOTTENS LÄN</t>
        </is>
      </c>
      <c r="E19" t="inlineStr">
        <is>
          <t>ARJEPLOG</t>
        </is>
      </c>
      <c r="G19" t="n">
        <v>48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Tretåig hackspett</t>
        </is>
      </c>
      <c r="S19">
        <f>HYPERLINK("https://klasma.github.io/Logging_2506/artfynd/A 15171-2022 artfynd.xlsx", "A 15171-2022")</f>
        <v/>
      </c>
      <c r="T19">
        <f>HYPERLINK("https://klasma.github.io/Logging_2506/kartor/A 15171-2022 karta.png", "A 15171-2022")</f>
        <v/>
      </c>
      <c r="V19">
        <f>HYPERLINK("https://klasma.github.io/Logging_2506/klagomål/A 15171-2022 FSC-klagomål.docx", "A 15171-2022")</f>
        <v/>
      </c>
      <c r="W19">
        <f>HYPERLINK("https://klasma.github.io/Logging_2506/klagomålsmail/A 15171-2022 FSC-klagomål mail.docx", "A 15171-2022")</f>
        <v/>
      </c>
      <c r="X19">
        <f>HYPERLINK("https://klasma.github.io/Logging_2506/tillsyn/A 15171-2022 tillsynsbegäran.docx", "A 15171-2022")</f>
        <v/>
      </c>
      <c r="Y19">
        <f>HYPERLINK("https://klasma.github.io/Logging_2506/tillsynsmail/A 15171-2022 tillsynsbegäran mail.docx", "A 15171-2022")</f>
        <v/>
      </c>
      <c r="Z19">
        <f>HYPERLINK("https://klasma.github.io/Logging_2506/fåglar/A 15171-2022 prioriterade fågelarter.docx", "A 15171-2022")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45908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45908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45908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45908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45908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45908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45908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45908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45908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45908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45908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39728-2025</t>
        </is>
      </c>
      <c r="B31" s="1" t="n">
        <v>45891.34503472222</v>
      </c>
      <c r="C31" s="1" t="n">
        <v>45908</v>
      </c>
      <c r="D31" t="inlineStr">
        <is>
          <t>NORRBOTTENS LÄN</t>
        </is>
      </c>
      <c r="E31" t="inlineStr">
        <is>
          <t>ARJEPLOG</t>
        </is>
      </c>
      <c r="G31" t="n">
        <v>36.2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Lavskrika</t>
        </is>
      </c>
      <c r="S31">
        <f>HYPERLINK("https://klasma.github.io/Logging_2506/artfynd/A 39728-2025 artfynd.xlsx", "A 39728-2025")</f>
        <v/>
      </c>
      <c r="T31">
        <f>HYPERLINK("https://klasma.github.io/Logging_2506/kartor/A 39728-2025 karta.png", "A 39728-2025")</f>
        <v/>
      </c>
      <c r="V31">
        <f>HYPERLINK("https://klasma.github.io/Logging_2506/klagomål/A 39728-2025 FSC-klagomål.docx", "A 39728-2025")</f>
        <v/>
      </c>
      <c r="W31">
        <f>HYPERLINK("https://klasma.github.io/Logging_2506/klagomålsmail/A 39728-2025 FSC-klagomål mail.docx", "A 39728-2025")</f>
        <v/>
      </c>
      <c r="X31">
        <f>HYPERLINK("https://klasma.github.io/Logging_2506/tillsyn/A 39728-2025 tillsynsbegäran.docx", "A 39728-2025")</f>
        <v/>
      </c>
      <c r="Y31">
        <f>HYPERLINK("https://klasma.github.io/Logging_2506/tillsynsmail/A 39728-2025 tillsynsbegäran mail.docx", "A 39728-2025")</f>
        <v/>
      </c>
      <c r="Z31">
        <f>HYPERLINK("https://klasma.github.io/Logging_2506/fåglar/A 39728-2025 prioriterade fågelarter.docx", "A 39728-2025")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45908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45908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45908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45908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45908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45908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45908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45908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45908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45908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45908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45908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45908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45908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45908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45908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45908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45908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45908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45908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45908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45908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45908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25270-2023</t>
        </is>
      </c>
      <c r="B55" s="1" t="n">
        <v>45079</v>
      </c>
      <c r="C55" s="1" t="n">
        <v>45908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29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48940-2023</t>
        </is>
      </c>
      <c r="B56" s="1" t="n">
        <v>45205</v>
      </c>
      <c r="C56" s="1" t="n">
        <v>45908</v>
      </c>
      <c r="D56" t="inlineStr">
        <is>
          <t>NORRBOTTENS LÄN</t>
        </is>
      </c>
      <c r="E56" t="inlineStr">
        <is>
          <t>ARJEPLOG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42274-2022</t>
        </is>
      </c>
      <c r="B57" s="1" t="n">
        <v>44830</v>
      </c>
      <c r="C57" s="1" t="n">
        <v>45908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56754-2024</t>
        </is>
      </c>
      <c r="B58" s="1" t="n">
        <v>45625</v>
      </c>
      <c r="C58" s="1" t="n">
        <v>45908</v>
      </c>
      <c r="D58" t="inlineStr">
        <is>
          <t>NORRBOTTENS LÄN</t>
        </is>
      </c>
      <c r="E58" t="inlineStr">
        <is>
          <t>ARJEPLOG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30870-2023</t>
        </is>
      </c>
      <c r="B59" s="1" t="n">
        <v>45113</v>
      </c>
      <c r="C59" s="1" t="n">
        <v>45908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25.5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45908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61729-2024</t>
        </is>
      </c>
      <c r="B61" s="1" t="n">
        <v>45649</v>
      </c>
      <c r="C61" s="1" t="n">
        <v>45908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45908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45908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55124-2024</t>
        </is>
      </c>
      <c r="B64" s="1" t="n">
        <v>45618</v>
      </c>
      <c r="C64" s="1" t="n">
        <v>45908</v>
      </c>
      <c r="D64" t="inlineStr">
        <is>
          <t>NORRBOTTENS LÄN</t>
        </is>
      </c>
      <c r="E64" t="inlineStr">
        <is>
          <t>ARJEPLOG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45908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64822-2023</t>
        </is>
      </c>
      <c r="B66" s="1" t="n">
        <v>45281</v>
      </c>
      <c r="C66" s="1" t="n">
        <v>45908</v>
      </c>
      <c r="D66" t="inlineStr">
        <is>
          <t>NORRBOTTENS LÄN</t>
        </is>
      </c>
      <c r="E66" t="inlineStr">
        <is>
          <t>ARJEPLOG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26811-2022</t>
        </is>
      </c>
      <c r="B67" s="1" t="n">
        <v>44735</v>
      </c>
      <c r="C67" s="1" t="n">
        <v>45908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29649-2024</t>
        </is>
      </c>
      <c r="B68" s="1" t="n">
        <v>45484</v>
      </c>
      <c r="C68" s="1" t="n">
        <v>45908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13119-2025</t>
        </is>
      </c>
      <c r="B69" s="1" t="n">
        <v>45734</v>
      </c>
      <c r="C69" s="1" t="n">
        <v>45908</v>
      </c>
      <c r="D69" t="inlineStr">
        <is>
          <t>NORRBOTTENS LÄN</t>
        </is>
      </c>
      <c r="E69" t="inlineStr">
        <is>
          <t>ARJEPLOG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20905-2025</t>
        </is>
      </c>
      <c r="B70" s="1" t="n">
        <v>45777.40407407407</v>
      </c>
      <c r="C70" s="1" t="n">
        <v>45908</v>
      </c>
      <c r="D70" t="inlineStr">
        <is>
          <t>NORRBOTTENS LÄN</t>
        </is>
      </c>
      <c r="E70" t="inlineStr">
        <is>
          <t>ARJEPLOG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45924-2023</t>
        </is>
      </c>
      <c r="B71" s="1" t="n">
        <v>45189</v>
      </c>
      <c r="C71" s="1" t="n">
        <v>45908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20916-2025</t>
        </is>
      </c>
      <c r="B72" s="1" t="n">
        <v>45777.41037037037</v>
      </c>
      <c r="C72" s="1" t="n">
        <v>45908</v>
      </c>
      <c r="D72" t="inlineStr">
        <is>
          <t>NORRBOTTENS LÄN</t>
        </is>
      </c>
      <c r="E72" t="inlineStr">
        <is>
          <t>ARJEPLOG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10825-2025</t>
        </is>
      </c>
      <c r="B73" s="1" t="n">
        <v>45722</v>
      </c>
      <c r="C73" s="1" t="n">
        <v>45908</v>
      </c>
      <c r="D73" t="inlineStr">
        <is>
          <t>NORRBOTTENS LÄN</t>
        </is>
      </c>
      <c r="E73" t="inlineStr">
        <is>
          <t>ARJEPLOG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45908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18923-2025</t>
        </is>
      </c>
      <c r="B75" s="1" t="n">
        <v>45764</v>
      </c>
      <c r="C75" s="1" t="n">
        <v>45908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62801-2023</t>
        </is>
      </c>
      <c r="B76" s="1" t="n">
        <v>45268</v>
      </c>
      <c r="C76" s="1" t="n">
        <v>45908</v>
      </c>
      <c r="D76" t="inlineStr">
        <is>
          <t>NORRBOTTENS LÄN</t>
        </is>
      </c>
      <c r="E76" t="inlineStr">
        <is>
          <t>ARJEPLOG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45908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64809-2023</t>
        </is>
      </c>
      <c r="B78" s="1" t="n">
        <v>45281</v>
      </c>
      <c r="C78" s="1" t="n">
        <v>45908</v>
      </c>
      <c r="D78" t="inlineStr">
        <is>
          <t>NORRBOTTENS LÄN</t>
        </is>
      </c>
      <c r="E78" t="inlineStr">
        <is>
          <t>ARJEPLOG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45908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45908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52581-2022</t>
        </is>
      </c>
      <c r="B81" s="1" t="n">
        <v>44874</v>
      </c>
      <c r="C81" s="1" t="n">
        <v>45908</v>
      </c>
      <c r="D81" t="inlineStr">
        <is>
          <t>NORRBOTTENS LÄN</t>
        </is>
      </c>
      <c r="E81" t="inlineStr">
        <is>
          <t>ARJEPLOG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25440-2024</t>
        </is>
      </c>
      <c r="B82" s="1" t="n">
        <v>45463</v>
      </c>
      <c r="C82" s="1" t="n">
        <v>45908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45908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45908</v>
      </c>
      <c r="D84" t="inlineStr">
        <is>
          <t>NORRBOTTENS LÄN</t>
        </is>
      </c>
      <c r="E84" t="inlineStr">
        <is>
          <t>ARJEPLOG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17536-2023</t>
        </is>
      </c>
      <c r="B85" s="1" t="n">
        <v>45034</v>
      </c>
      <c r="C85" s="1" t="n">
        <v>45908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3006-2024</t>
        </is>
      </c>
      <c r="B86" s="1" t="n">
        <v>45315</v>
      </c>
      <c r="C86" s="1" t="n">
        <v>45908</v>
      </c>
      <c r="D86" t="inlineStr">
        <is>
          <t>NORRBOTTENS LÄN</t>
        </is>
      </c>
      <c r="E86" t="inlineStr">
        <is>
          <t>ARJEPLOG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26103-2024</t>
        </is>
      </c>
      <c r="B87" s="1" t="n">
        <v>45467</v>
      </c>
      <c r="C87" s="1" t="n">
        <v>45908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526-2025</t>
        </is>
      </c>
      <c r="B88" s="1" t="n">
        <v>45664</v>
      </c>
      <c r="C88" s="1" t="n">
        <v>45908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64832-2023</t>
        </is>
      </c>
      <c r="B89" s="1" t="n">
        <v>45281</v>
      </c>
      <c r="C89" s="1" t="n">
        <v>45908</v>
      </c>
      <c r="D89" t="inlineStr">
        <is>
          <t>NORRBOTTENS LÄN</t>
        </is>
      </c>
      <c r="E89" t="inlineStr">
        <is>
          <t>ARJEPLOG</t>
        </is>
      </c>
      <c r="G89" t="n">
        <v>43.6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29667-2025</t>
        </is>
      </c>
      <c r="B90" s="1" t="n">
        <v>45825</v>
      </c>
      <c r="C90" s="1" t="n">
        <v>45908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45908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31104-2025</t>
        </is>
      </c>
      <c r="B92" s="1" t="n">
        <v>45832.60090277778</v>
      </c>
      <c r="C92" s="1" t="n">
        <v>45908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25928-2024</t>
        </is>
      </c>
      <c r="B93" s="1" t="n">
        <v>45467</v>
      </c>
      <c r="C93" s="1" t="n">
        <v>45908</v>
      </c>
      <c r="D93" t="inlineStr">
        <is>
          <t>NORRBOTTENS LÄN</t>
        </is>
      </c>
      <c r="E93" t="inlineStr">
        <is>
          <t>ARJEPLOG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45908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45908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23949-2024</t>
        </is>
      </c>
      <c r="B96" s="1" t="n">
        <v>45455</v>
      </c>
      <c r="C96" s="1" t="n">
        <v>45908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58989-2024</t>
        </is>
      </c>
      <c r="B97" s="1" t="n">
        <v>45636</v>
      </c>
      <c r="C97" s="1" t="n">
        <v>45908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45908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38851-2025</t>
        </is>
      </c>
      <c r="B99" s="1" t="n">
        <v>45887.55271990741</v>
      </c>
      <c r="C99" s="1" t="n">
        <v>45908</v>
      </c>
      <c r="D99" t="inlineStr">
        <is>
          <t>NORRBOTTENS LÄN</t>
        </is>
      </c>
      <c r="E99" t="inlineStr">
        <is>
          <t>ARJEPLOG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30617-2025</t>
        </is>
      </c>
      <c r="B100" s="1" t="n">
        <v>45831</v>
      </c>
      <c r="C100" s="1" t="n">
        <v>45908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39.8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48376-2023</t>
        </is>
      </c>
      <c r="B101" s="1" t="n">
        <v>45205</v>
      </c>
      <c r="C101" s="1" t="n">
        <v>45908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Aktiebolag</t>
        </is>
      </c>
      <c r="G101" t="n">
        <v>18.3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30595-2025</t>
        </is>
      </c>
      <c r="B102" s="1" t="n">
        <v>45831</v>
      </c>
      <c r="C102" s="1" t="n">
        <v>45908</v>
      </c>
      <c r="D102" t="inlineStr">
        <is>
          <t>NORRBOTTENS LÄN</t>
        </is>
      </c>
      <c r="E102" t="inlineStr">
        <is>
          <t>ARJEPLOG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30606-2025</t>
        </is>
      </c>
      <c r="B103" s="1" t="n">
        <v>45831</v>
      </c>
      <c r="C103" s="1" t="n">
        <v>45908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70.40000000000001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12409-2025</t>
        </is>
      </c>
      <c r="B104" s="1" t="n">
        <v>45730.43366898148</v>
      </c>
      <c r="C104" s="1" t="n">
        <v>45908</v>
      </c>
      <c r="D104" t="inlineStr">
        <is>
          <t>NORRBOTTENS LÄN</t>
        </is>
      </c>
      <c r="E104" t="inlineStr">
        <is>
          <t>ARJEPLOG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45908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29662-2025</t>
        </is>
      </c>
      <c r="B106" s="1" t="n">
        <v>45825</v>
      </c>
      <c r="C106" s="1" t="n">
        <v>45908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45908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45326-2024</t>
        </is>
      </c>
      <c r="B108" s="1" t="n">
        <v>45576</v>
      </c>
      <c r="C108" s="1" t="n">
        <v>45908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54589-2021</t>
        </is>
      </c>
      <c r="B109" s="1" t="n">
        <v>44473</v>
      </c>
      <c r="C109" s="1" t="n">
        <v>45908</v>
      </c>
      <c r="D109" t="inlineStr">
        <is>
          <t>NORRBOTTENS LÄN</t>
        </is>
      </c>
      <c r="E109" t="inlineStr">
        <is>
          <t>ARJEPLOG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45730.48715277778</v>
      </c>
      <c r="C110" s="1" t="n">
        <v>45908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50255-2023</t>
        </is>
      </c>
      <c r="B111" s="1" t="n">
        <v>45216</v>
      </c>
      <c r="C111" s="1" t="n">
        <v>45908</v>
      </c>
      <c r="D111" t="inlineStr">
        <is>
          <t>NORRBOTTENS LÄN</t>
        </is>
      </c>
      <c r="E111" t="inlineStr">
        <is>
          <t>ARJEPLOG</t>
        </is>
      </c>
      <c r="G111" t="n">
        <v>20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61272-2020</t>
        </is>
      </c>
      <c r="B112" s="1" t="n">
        <v>44154</v>
      </c>
      <c r="C112" s="1" t="n">
        <v>45908</v>
      </c>
      <c r="D112" t="inlineStr">
        <is>
          <t>NORRBOTTENS LÄN</t>
        </is>
      </c>
      <c r="E112" t="inlineStr">
        <is>
          <t>ARJEPLOG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35194-2024</t>
        </is>
      </c>
      <c r="B113" s="1" t="n">
        <v>45530</v>
      </c>
      <c r="C113" s="1" t="n">
        <v>45908</v>
      </c>
      <c r="D113" t="inlineStr">
        <is>
          <t>NORRBOTTENS LÄN</t>
        </is>
      </c>
      <c r="E113" t="inlineStr">
        <is>
          <t>ARJEPLOG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20789-2022</t>
        </is>
      </c>
      <c r="B114" s="1" t="n">
        <v>44701</v>
      </c>
      <c r="C114" s="1" t="n">
        <v>45908</v>
      </c>
      <c r="D114" t="inlineStr">
        <is>
          <t>NORRBOTTENS LÄN</t>
        </is>
      </c>
      <c r="E114" t="inlineStr">
        <is>
          <t>ARJEPLOG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45908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45908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64837-2023</t>
        </is>
      </c>
      <c r="B117" s="1" t="n">
        <v>45281</v>
      </c>
      <c r="C117" s="1" t="n">
        <v>45908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64840-2023</t>
        </is>
      </c>
      <c r="B118" s="1" t="n">
        <v>45281</v>
      </c>
      <c r="C118" s="1" t="n">
        <v>45908</v>
      </c>
      <c r="D118" t="inlineStr">
        <is>
          <t>NORRBOTTENS LÄN</t>
        </is>
      </c>
      <c r="E118" t="inlineStr">
        <is>
          <t>ARJEPLOG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41061-2024</t>
        </is>
      </c>
      <c r="B119" s="1" t="n">
        <v>45558</v>
      </c>
      <c r="C119" s="1" t="n">
        <v>45908</v>
      </c>
      <c r="D119" t="inlineStr">
        <is>
          <t>NORRBOTTENS LÄN</t>
        </is>
      </c>
      <c r="E119" t="inlineStr">
        <is>
          <t>ARJEPLOG</t>
        </is>
      </c>
      <c r="G119" t="n">
        <v>23.1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56785-2024</t>
        </is>
      </c>
      <c r="B120" s="1" t="n">
        <v>45625</v>
      </c>
      <c r="C120" s="1" t="n">
        <v>45908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25239-2023</t>
        </is>
      </c>
      <c r="B121" s="1" t="n">
        <v>45079</v>
      </c>
      <c r="C121" s="1" t="n">
        <v>45908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53822-2024</t>
        </is>
      </c>
      <c r="B122" s="1" t="n">
        <v>45614</v>
      </c>
      <c r="C122" s="1" t="n">
        <v>45908</v>
      </c>
      <c r="D122" t="inlineStr">
        <is>
          <t>NORRBOTTENS LÄN</t>
        </is>
      </c>
      <c r="E122" t="inlineStr">
        <is>
          <t>ARJEPLOG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56800-2024</t>
        </is>
      </c>
      <c r="B123" s="1" t="n">
        <v>45625</v>
      </c>
      <c r="C123" s="1" t="n">
        <v>45908</v>
      </c>
      <c r="D123" t="inlineStr">
        <is>
          <t>NORRBOTTENS LÄN</t>
        </is>
      </c>
      <c r="E123" t="inlineStr">
        <is>
          <t>ARJEPLOG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45908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14375-2021</t>
        </is>
      </c>
      <c r="B125" s="1" t="n">
        <v>44279</v>
      </c>
      <c r="C125" s="1" t="n">
        <v>45908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60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28354-2022</t>
        </is>
      </c>
      <c r="B126" s="1" t="n">
        <v>44735</v>
      </c>
      <c r="C126" s="1" t="n">
        <v>45908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45417-2024</t>
        </is>
      </c>
      <c r="B127" s="1" t="n">
        <v>45576</v>
      </c>
      <c r="C127" s="1" t="n">
        <v>45908</v>
      </c>
      <c r="D127" t="inlineStr">
        <is>
          <t>NORRBOTTENS LÄN</t>
        </is>
      </c>
      <c r="E127" t="inlineStr">
        <is>
          <t>ARJEPLOG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73880-2021</t>
        </is>
      </c>
      <c r="B128" s="1" t="n">
        <v>44552</v>
      </c>
      <c r="C128" s="1" t="n">
        <v>45908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56794-2024</t>
        </is>
      </c>
      <c r="B129" s="1" t="n">
        <v>45625</v>
      </c>
      <c r="C129" s="1" t="n">
        <v>45908</v>
      </c>
      <c r="D129" t="inlineStr">
        <is>
          <t>NORRBOTTENS LÄN</t>
        </is>
      </c>
      <c r="E129" t="inlineStr">
        <is>
          <t>ARJEPLOG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56782-2024</t>
        </is>
      </c>
      <c r="B130" s="1" t="n">
        <v>45625</v>
      </c>
      <c r="C130" s="1" t="n">
        <v>45908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45908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45908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44218-2023</t>
        </is>
      </c>
      <c r="B133" s="1" t="n">
        <v>45183</v>
      </c>
      <c r="C133" s="1" t="n">
        <v>45908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2025-09-08T08:58:15Z</dcterms:created>
  <dcterms:modified xmlns:dcterms="http://purl.org/dc/terms/" xmlns:xsi="http://www.w3.org/2001/XMLSchema-instance" xsi:type="dcterms:W3CDTF">2025-09-08T08:58:15Z</dcterms:modified>
</cp:coreProperties>
</file>