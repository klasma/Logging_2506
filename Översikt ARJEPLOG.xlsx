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46098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46098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46098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46098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46098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46098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46098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46098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46098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46098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46098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46098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46098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46098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45032-2023</t>
        </is>
      </c>
      <c r="B30" s="1" t="n">
        <v>45190</v>
      </c>
      <c r="C30" s="1" t="n">
        <v>46098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45032-2023 artfynd.xlsx", "A 45032-2023")</f>
        <v/>
      </c>
      <c r="T30">
        <f>HYPERLINK("https://klasma.github.io/Logging_2506/kartor/A 45032-2023 karta.png", "A 45032-2023")</f>
        <v/>
      </c>
      <c r="V30">
        <f>HYPERLINK("https://klasma.github.io/Logging_2506/klagomål/A 45032-2023 FSC-klagomål.docx", "A 45032-2023")</f>
        <v/>
      </c>
      <c r="W30">
        <f>HYPERLINK("https://klasma.github.io/Logging_2506/klagomålsmail/A 45032-2023 FSC-klagomål mail.docx", "A 45032-2023")</f>
        <v/>
      </c>
      <c r="X30">
        <f>HYPERLINK("https://klasma.github.io/Logging_2506/tillsyn/A 45032-2023 tillsynsbegäran.docx", "A 45032-2023")</f>
        <v/>
      </c>
      <c r="Y30">
        <f>HYPERLINK("https://klasma.github.io/Logging_2506/tillsynsmail/A 45032-2023 tillsynsbegäran mail.docx", "A 45032-2023")</f>
        <v/>
      </c>
      <c r="Z30">
        <f>HYPERLINK("https://klasma.github.io/Logging_2506/fåglar/A 45032-2023 prioriterade fågelarter.docx", "A 45032-2023")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46098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46098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46098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46098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46098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46098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46098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46098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46098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46098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46098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46098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46098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46098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46098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42274-2022</t>
        </is>
      </c>
      <c r="B54" s="1" t="n">
        <v>44830</v>
      </c>
      <c r="C54" s="1" t="n">
        <v>46098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48992-2025</t>
        </is>
      </c>
      <c r="B55" s="1" t="n">
        <v>45937.58351851852</v>
      </c>
      <c r="C55" s="1" t="n">
        <v>46098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48987-2025</t>
        </is>
      </c>
      <c r="B56" s="1" t="n">
        <v>45937.5759837963</v>
      </c>
      <c r="C56" s="1" t="n">
        <v>46098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46098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46098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53246-2025</t>
        </is>
      </c>
      <c r="B59" s="1" t="n">
        <v>45958.64807870371</v>
      </c>
      <c r="C59" s="1" t="n">
        <v>46098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36.7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46098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58989-2024</t>
        </is>
      </c>
      <c r="B61" s="1" t="n">
        <v>45636</v>
      </c>
      <c r="C61" s="1" t="n">
        <v>46098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42518-2025</t>
        </is>
      </c>
      <c r="B62" s="1" t="n">
        <v>45905</v>
      </c>
      <c r="C62" s="1" t="n">
        <v>46098</v>
      </c>
      <c r="D62" t="inlineStr">
        <is>
          <t>NORRBOTTENS LÄN</t>
        </is>
      </c>
      <c r="E62" t="inlineStr">
        <is>
          <t>ARJEPLOG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46098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46098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46098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34670-2025</t>
        </is>
      </c>
      <c r="B66" s="1" t="n">
        <v>45847</v>
      </c>
      <c r="C66" s="1" t="n">
        <v>46098</v>
      </c>
      <c r="D66" t="inlineStr">
        <is>
          <t>NORRBOTTENS LÄN</t>
        </is>
      </c>
      <c r="E66" t="inlineStr">
        <is>
          <t>ARJEPLOG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46098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46098</v>
      </c>
      <c r="D68" t="inlineStr">
        <is>
          <t>NORRBOTTENS LÄN</t>
        </is>
      </c>
      <c r="E68" t="inlineStr">
        <is>
          <t>ARJEPLOG</t>
        </is>
      </c>
      <c r="G68" t="n">
        <v>23.2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46098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55570-2025</t>
        </is>
      </c>
      <c r="B70" s="1" t="n">
        <v>45971.65667824074</v>
      </c>
      <c r="C70" s="1" t="n">
        <v>46098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34426-2025</t>
        </is>
      </c>
      <c r="B71" s="1" t="n">
        <v>45845</v>
      </c>
      <c r="C71" s="1" t="n">
        <v>46098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17536-2023</t>
        </is>
      </c>
      <c r="B72" s="1" t="n">
        <v>45034</v>
      </c>
      <c r="C72" s="1" t="n">
        <v>46098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29667-2025</t>
        </is>
      </c>
      <c r="B73" s="1" t="n">
        <v>45825</v>
      </c>
      <c r="C73" s="1" t="n">
        <v>46098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55266-2024</t>
        </is>
      </c>
      <c r="B74" s="1" t="n">
        <v>45621</v>
      </c>
      <c r="C74" s="1" t="n">
        <v>46098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390-2026</t>
        </is>
      </c>
      <c r="B75" s="1" t="n">
        <v>46028.22915509259</v>
      </c>
      <c r="C75" s="1" t="n">
        <v>46098</v>
      </c>
      <c r="D75" t="inlineStr">
        <is>
          <t>NORRBOTTENS LÄN</t>
        </is>
      </c>
      <c r="E75" t="inlineStr">
        <is>
          <t>ARJEPLOG</t>
        </is>
      </c>
      <c r="G75" t="n">
        <v>19.5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55124-2024</t>
        </is>
      </c>
      <c r="B76" s="1" t="n">
        <v>45618</v>
      </c>
      <c r="C76" s="1" t="n">
        <v>46098</v>
      </c>
      <c r="D76" t="inlineStr">
        <is>
          <t>NORRBOTTENS LÄN</t>
        </is>
      </c>
      <c r="E76" t="inlineStr">
        <is>
          <t>ARJEPLOG</t>
        </is>
      </c>
      <c r="G76" t="n">
        <v>18.3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46098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46098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20905-2025</t>
        </is>
      </c>
      <c r="B79" s="1" t="n">
        <v>45777</v>
      </c>
      <c r="C79" s="1" t="n">
        <v>46098</v>
      </c>
      <c r="D79" t="inlineStr">
        <is>
          <t>NORRBOTTENS LÄN</t>
        </is>
      </c>
      <c r="E79" t="inlineStr">
        <is>
          <t>ARJEPLOG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25275-2023</t>
        </is>
      </c>
      <c r="B80" s="1" t="n">
        <v>45079</v>
      </c>
      <c r="C80" s="1" t="n">
        <v>46098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46098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31104-2025</t>
        </is>
      </c>
      <c r="B82" s="1" t="n">
        <v>45832.60090277778</v>
      </c>
      <c r="C82" s="1" t="n">
        <v>46098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59887-2025</t>
        </is>
      </c>
      <c r="B83" s="1" t="n">
        <v>45993.32416666667</v>
      </c>
      <c r="C83" s="1" t="n">
        <v>46098</v>
      </c>
      <c r="D83" t="inlineStr">
        <is>
          <t>NORRBOTTENS LÄN</t>
        </is>
      </c>
      <c r="E83" t="inlineStr">
        <is>
          <t>ARJEPLOG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46098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60767-2025</t>
        </is>
      </c>
      <c r="B85" s="1" t="n">
        <v>45999.3869212963</v>
      </c>
      <c r="C85" s="1" t="n">
        <v>46098</v>
      </c>
      <c r="D85" t="inlineStr">
        <is>
          <t>NORRBOTTENS LÄN</t>
        </is>
      </c>
      <c r="E85" t="inlineStr">
        <is>
          <t>ARJEPLOG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45072-2023</t>
        </is>
      </c>
      <c r="B86" s="1" t="n">
        <v>45187</v>
      </c>
      <c r="C86" s="1" t="n">
        <v>46098</v>
      </c>
      <c r="D86" t="inlineStr">
        <is>
          <t>NORRBOTTENS LÄN</t>
        </is>
      </c>
      <c r="E86" t="inlineStr">
        <is>
          <t>ARJEPLOG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60766-2025</t>
        </is>
      </c>
      <c r="B87" s="1" t="n">
        <v>45999.38688657407</v>
      </c>
      <c r="C87" s="1" t="n">
        <v>46098</v>
      </c>
      <c r="D87" t="inlineStr">
        <is>
          <t>NORRBOTTENS LÄN</t>
        </is>
      </c>
      <c r="E87" t="inlineStr">
        <is>
          <t>ARJEPLOG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46098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46098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46098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30606-2025</t>
        </is>
      </c>
      <c r="B91" s="1" t="n">
        <v>45831</v>
      </c>
      <c r="C91" s="1" t="n">
        <v>46098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70.40000000000001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6642-2026</t>
        </is>
      </c>
      <c r="B92" s="1" t="n">
        <v>46056.53643518518</v>
      </c>
      <c r="C92" s="1" t="n">
        <v>46098</v>
      </c>
      <c r="D92" t="inlineStr">
        <is>
          <t>NORRBOTTENS LÄN</t>
        </is>
      </c>
      <c r="E92" t="inlineStr">
        <is>
          <t>ARJEPLOG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58370-2023</t>
        </is>
      </c>
      <c r="B93" s="1" t="n">
        <v>45250</v>
      </c>
      <c r="C93" s="1" t="n">
        <v>46098</v>
      </c>
      <c r="D93" t="inlineStr">
        <is>
          <t>NORRBOTTENS LÄN</t>
        </is>
      </c>
      <c r="E93" t="inlineStr">
        <is>
          <t>ARJEPLOG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29674-2025</t>
        </is>
      </c>
      <c r="B94" s="1" t="n">
        <v>45825</v>
      </c>
      <c r="C94" s="1" t="n">
        <v>46098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29662-2025</t>
        </is>
      </c>
      <c r="B95" s="1" t="n">
        <v>45825</v>
      </c>
      <c r="C95" s="1" t="n">
        <v>46098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38851-2025</t>
        </is>
      </c>
      <c r="B96" s="1" t="n">
        <v>45887.55271990741</v>
      </c>
      <c r="C96" s="1" t="n">
        <v>46098</v>
      </c>
      <c r="D96" t="inlineStr">
        <is>
          <t>NORRBOTTENS LÄN</t>
        </is>
      </c>
      <c r="E96" t="inlineStr">
        <is>
          <t>ARJEPLOG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36779-2025</t>
        </is>
      </c>
      <c r="B97" s="1" t="n">
        <v>45873</v>
      </c>
      <c r="C97" s="1" t="n">
        <v>46098</v>
      </c>
      <c r="D97" t="inlineStr">
        <is>
          <t>NORRBOTTENS LÄN</t>
        </is>
      </c>
      <c r="E97" t="inlineStr">
        <is>
          <t>ARJEPLOG</t>
        </is>
      </c>
      <c r="G97" t="n">
        <v>17.2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46098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3006-2024</t>
        </is>
      </c>
      <c r="B99" s="1" t="n">
        <v>45315</v>
      </c>
      <c r="C99" s="1" t="n">
        <v>46098</v>
      </c>
      <c r="D99" t="inlineStr">
        <is>
          <t>NORRBOTTENS LÄN</t>
        </is>
      </c>
      <c r="E99" t="inlineStr">
        <is>
          <t>ARJEPLOG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10476-2026</t>
        </is>
      </c>
      <c r="B100" s="1" t="n">
        <v>46076</v>
      </c>
      <c r="C100" s="1" t="n">
        <v>46098</v>
      </c>
      <c r="D100" t="inlineStr">
        <is>
          <t>NORRBOTTENS LÄN</t>
        </is>
      </c>
      <c r="E100" t="inlineStr">
        <is>
          <t>ARJEPLOG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526-2025</t>
        </is>
      </c>
      <c r="B101" s="1" t="n">
        <v>45664</v>
      </c>
      <c r="C101" s="1" t="n">
        <v>46098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25928-2024</t>
        </is>
      </c>
      <c r="B102" s="1" t="n">
        <v>45467</v>
      </c>
      <c r="C102" s="1" t="n">
        <v>46098</v>
      </c>
      <c r="D102" t="inlineStr">
        <is>
          <t>NORRBOTTENS LÄN</t>
        </is>
      </c>
      <c r="E102" t="inlineStr">
        <is>
          <t>ARJEPLOG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23949-2024</t>
        </is>
      </c>
      <c r="B103" s="1" t="n">
        <v>45455</v>
      </c>
      <c r="C103" s="1" t="n">
        <v>46098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48376-2023</t>
        </is>
      </c>
      <c r="B104" s="1" t="n">
        <v>45205</v>
      </c>
      <c r="C104" s="1" t="n">
        <v>46098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Aktiebolag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46098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12447-2025</t>
        </is>
      </c>
      <c r="B106" s="1" t="n">
        <v>45730</v>
      </c>
      <c r="C106" s="1" t="n">
        <v>46098</v>
      </c>
      <c r="D106" t="inlineStr">
        <is>
          <t>NORRBOTTENS LÄN</t>
        </is>
      </c>
      <c r="E106" t="inlineStr">
        <is>
          <t>ARJEPLOG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25239-2023</t>
        </is>
      </c>
      <c r="B107" s="1" t="n">
        <v>45079</v>
      </c>
      <c r="C107" s="1" t="n">
        <v>46098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46098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20789-2022</t>
        </is>
      </c>
      <c r="B109" s="1" t="n">
        <v>44701</v>
      </c>
      <c r="C109" s="1" t="n">
        <v>46098</v>
      </c>
      <c r="D109" t="inlineStr">
        <is>
          <t>NORRBOTTENS LÄN</t>
        </is>
      </c>
      <c r="E109" t="inlineStr">
        <is>
          <t>ARJEPLOG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26479-2024</t>
        </is>
      </c>
      <c r="B110" s="1" t="n">
        <v>45468</v>
      </c>
      <c r="C110" s="1" t="n">
        <v>46098</v>
      </c>
      <c r="D110" t="inlineStr">
        <is>
          <t>NORRBOTTENS LÄN</t>
        </is>
      </c>
      <c r="E110" t="inlineStr">
        <is>
          <t>ARJEPLOG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53822-2024</t>
        </is>
      </c>
      <c r="B111" s="1" t="n">
        <v>45614</v>
      </c>
      <c r="C111" s="1" t="n">
        <v>46098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46098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46098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28354-2022</t>
        </is>
      </c>
      <c r="B114" s="1" t="n">
        <v>44735</v>
      </c>
      <c r="C114" s="1" t="n">
        <v>46098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73880-2021</t>
        </is>
      </c>
      <c r="B115" s="1" t="n">
        <v>44552</v>
      </c>
      <c r="C115" s="1" t="n">
        <v>46098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26472-2024</t>
        </is>
      </c>
      <c r="B116" s="1" t="n">
        <v>45469</v>
      </c>
      <c r="C116" s="1" t="n">
        <v>46098</v>
      </c>
      <c r="D116" t="inlineStr">
        <is>
          <t>NORRBOTTENS LÄN</t>
        </is>
      </c>
      <c r="E116" t="inlineStr">
        <is>
          <t>ARJEPLOG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26486-2024</t>
        </is>
      </c>
      <c r="B117" s="1" t="n">
        <v>45469</v>
      </c>
      <c r="C117" s="1" t="n">
        <v>46098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46098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48940-2023</t>
        </is>
      </c>
      <c r="B119" s="1" t="n">
        <v>45205</v>
      </c>
      <c r="C119" s="1" t="n">
        <v>46098</v>
      </c>
      <c r="D119" t="inlineStr">
        <is>
          <t>NORRBOTTENS LÄN</t>
        </is>
      </c>
      <c r="E119" t="inlineStr">
        <is>
          <t>ARJEPLOG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46098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30870-2023</t>
        </is>
      </c>
      <c r="B121" s="1" t="n">
        <v>45113</v>
      </c>
      <c r="C121" s="1" t="n">
        <v>46098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61729-2024</t>
        </is>
      </c>
      <c r="B122" s="1" t="n">
        <v>45649</v>
      </c>
      <c r="C122" s="1" t="n">
        <v>46098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64822-2023</t>
        </is>
      </c>
      <c r="B123" s="1" t="n">
        <v>45281</v>
      </c>
      <c r="C123" s="1" t="n">
        <v>46098</v>
      </c>
      <c r="D123" t="inlineStr">
        <is>
          <t>NORRBOTTENS LÄN</t>
        </is>
      </c>
      <c r="E123" t="inlineStr">
        <is>
          <t>ARJEPLOG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26811-2022</t>
        </is>
      </c>
      <c r="B124" s="1" t="n">
        <v>44735</v>
      </c>
      <c r="C124" s="1" t="n">
        <v>46098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29649-2024</t>
        </is>
      </c>
      <c r="B125" s="1" t="n">
        <v>45484</v>
      </c>
      <c r="C125" s="1" t="n">
        <v>46098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46098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10825-2025</t>
        </is>
      </c>
      <c r="B127" s="1" t="n">
        <v>45722</v>
      </c>
      <c r="C127" s="1" t="n">
        <v>46098</v>
      </c>
      <c r="D127" t="inlineStr">
        <is>
          <t>NORRBOTTENS LÄN</t>
        </is>
      </c>
      <c r="E127" t="inlineStr">
        <is>
          <t>ARJEPLOG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46098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46098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46098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26470-2024</t>
        </is>
      </c>
      <c r="B131" s="1" t="n">
        <v>45468</v>
      </c>
      <c r="C131" s="1" t="n">
        <v>46098</v>
      </c>
      <c r="D131" t="inlineStr">
        <is>
          <t>NORRBOTTENS LÄN</t>
        </is>
      </c>
      <c r="E131" t="inlineStr">
        <is>
          <t>ARJEPLOG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52581-2022</t>
        </is>
      </c>
      <c r="B132" s="1" t="n">
        <v>44874</v>
      </c>
      <c r="C132" s="1" t="n">
        <v>46098</v>
      </c>
      <c r="D132" t="inlineStr">
        <is>
          <t>NORRBOTTENS LÄN</t>
        </is>
      </c>
      <c r="E132" t="inlineStr">
        <is>
          <t>ARJEPLOG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25440-2024</t>
        </is>
      </c>
      <c r="B133" s="1" t="n">
        <v>45463</v>
      </c>
      <c r="C133" s="1" t="n">
        <v>46098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30.7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26103-2024</t>
        </is>
      </c>
      <c r="B134" s="1" t="n">
        <v>45467</v>
      </c>
      <c r="C134" s="1" t="n">
        <v>46098</v>
      </c>
      <c r="D134" t="inlineStr">
        <is>
          <t>NORRBOTTENS LÄN</t>
        </is>
      </c>
      <c r="E134" t="inlineStr">
        <is>
          <t>ARJEPLOG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64832-2023</t>
        </is>
      </c>
      <c r="B135" s="1" t="n">
        <v>45281</v>
      </c>
      <c r="C135" s="1" t="n">
        <v>46098</v>
      </c>
      <c r="D135" t="inlineStr">
        <is>
          <t>NORRBOTTENS LÄN</t>
        </is>
      </c>
      <c r="E135" t="inlineStr">
        <is>
          <t>ARJEPLOG</t>
        </is>
      </c>
      <c r="G135" t="n">
        <v>43.6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46098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46098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35194-2024</t>
        </is>
      </c>
      <c r="B138" s="1" t="n">
        <v>45530</v>
      </c>
      <c r="C138" s="1" t="n">
        <v>46098</v>
      </c>
      <c r="D138" t="inlineStr">
        <is>
          <t>NORRBOTTENS LÄN</t>
        </is>
      </c>
      <c r="E138" t="inlineStr">
        <is>
          <t>ARJEPLOG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46098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46098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64840-2023</t>
        </is>
      </c>
      <c r="B141" s="1" t="n">
        <v>45281</v>
      </c>
      <c r="C141" s="1" t="n">
        <v>46098</v>
      </c>
      <c r="D141" t="inlineStr">
        <is>
          <t>NORRBOTTENS LÄN</t>
        </is>
      </c>
      <c r="E141" t="inlineStr">
        <is>
          <t>ARJEPLOG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41061-2024</t>
        </is>
      </c>
      <c r="B142" s="1" t="n">
        <v>45558</v>
      </c>
      <c r="C142" s="1" t="n">
        <v>46098</v>
      </c>
      <c r="D142" t="inlineStr">
        <is>
          <t>NORRBOTTENS LÄN</t>
        </is>
      </c>
      <c r="E142" t="inlineStr">
        <is>
          <t>ARJEPLOG</t>
        </is>
      </c>
      <c r="G142" t="n">
        <v>23.1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56785-2024</t>
        </is>
      </c>
      <c r="B143" s="1" t="n">
        <v>45625</v>
      </c>
      <c r="C143" s="1" t="n">
        <v>46098</v>
      </c>
      <c r="D143" t="inlineStr">
        <is>
          <t>NORRBOTTENS LÄN</t>
        </is>
      </c>
      <c r="E143" t="inlineStr">
        <is>
          <t>ARJEPLOG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56800-2024</t>
        </is>
      </c>
      <c r="B144" s="1" t="n">
        <v>45625</v>
      </c>
      <c r="C144" s="1" t="n">
        <v>46098</v>
      </c>
      <c r="D144" t="inlineStr">
        <is>
          <t>NORRBOTTENS LÄN</t>
        </is>
      </c>
      <c r="E144" t="inlineStr">
        <is>
          <t>ARJEPLOG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56794-2024</t>
        </is>
      </c>
      <c r="B145" s="1" t="n">
        <v>45625</v>
      </c>
      <c r="C145" s="1" t="n">
        <v>46098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56782-2024</t>
        </is>
      </c>
      <c r="B146" s="1" t="n">
        <v>45625</v>
      </c>
      <c r="C146" s="1" t="n">
        <v>46098</v>
      </c>
      <c r="D146" t="inlineStr">
        <is>
          <t>NORRBOTTENS LÄN</t>
        </is>
      </c>
      <c r="E146" t="inlineStr">
        <is>
          <t>ARJEPLOG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2026-03-17T11:23:24Z</dcterms:created>
  <dcterms:modified xmlns:dcterms="http://purl.org/dc/terms/" xmlns:xsi="http://www.w3.org/2001/XMLSchema-instance" xsi:type="dcterms:W3CDTF">2026-03-17T11:23:24Z</dcterms:modified>
</cp:coreProperties>
</file>