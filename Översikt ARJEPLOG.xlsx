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46083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46083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46083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46083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46083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46083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46083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46083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46083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46083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46083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46083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46083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46083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46083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46083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46083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46083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46083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46083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46083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46083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46083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46083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46083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45032-2023</t>
        </is>
      </c>
      <c r="B27" s="1" t="n">
        <v>45190</v>
      </c>
      <c r="C27" s="1" t="n">
        <v>46083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45032-2023 artfynd.xlsx", "A 45032-2023")</f>
        <v/>
      </c>
      <c r="T27">
        <f>HYPERLINK("https://klasma.github.io/Logging_2506/kartor/A 45032-2023 karta.png", "A 45032-2023")</f>
        <v/>
      </c>
      <c r="V27">
        <f>HYPERLINK("https://klasma.github.io/Logging_2506/klagomål/A 45032-2023 FSC-klagomål.docx", "A 45032-2023")</f>
        <v/>
      </c>
      <c r="W27">
        <f>HYPERLINK("https://klasma.github.io/Logging_2506/klagomålsmail/A 45032-2023 FSC-klagomål mail.docx", "A 45032-2023")</f>
        <v/>
      </c>
      <c r="X27">
        <f>HYPERLINK("https://klasma.github.io/Logging_2506/tillsyn/A 45032-2023 tillsynsbegäran.docx", "A 45032-2023")</f>
        <v/>
      </c>
      <c r="Y27">
        <f>HYPERLINK("https://klasma.github.io/Logging_2506/tillsynsmail/A 45032-2023 tillsynsbegäran mail.docx", "A 45032-2023")</f>
        <v/>
      </c>
      <c r="Z27">
        <f>HYPERLINK("https://klasma.github.io/Logging_2506/fåglar/A 45032-2023 prioriterade fågelarter.docx", "A 45032-2023")</f>
        <v/>
      </c>
    </row>
    <row r="28" ht="15" customHeight="1">
      <c r="A28" t="inlineStr">
        <is>
          <t>A 1478-2026</t>
        </is>
      </c>
      <c r="B28" s="1" t="n">
        <v>46033</v>
      </c>
      <c r="C28" s="1" t="n">
        <v>46083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1478-2026 artfynd.xlsx", "A 1478-2026")</f>
        <v/>
      </c>
      <c r="T28">
        <f>HYPERLINK("https://klasma.github.io/Logging_2506/kartor/A 1478-2026 karta.png", "A 1478-2026")</f>
        <v/>
      </c>
      <c r="V28">
        <f>HYPERLINK("https://klasma.github.io/Logging_2506/klagomål/A 1478-2026 FSC-klagomål.docx", "A 1478-2026")</f>
        <v/>
      </c>
      <c r="W28">
        <f>HYPERLINK("https://klasma.github.io/Logging_2506/klagomålsmail/A 1478-2026 FSC-klagomål mail.docx", "A 1478-2026")</f>
        <v/>
      </c>
      <c r="X28">
        <f>HYPERLINK("https://klasma.github.io/Logging_2506/tillsyn/A 1478-2026 tillsynsbegäran.docx", "A 1478-2026")</f>
        <v/>
      </c>
      <c r="Y28">
        <f>HYPERLINK("https://klasma.github.io/Logging_2506/tillsynsmail/A 1478-2026 tillsynsbegäran mail.docx", "A 1478-2026")</f>
        <v/>
      </c>
      <c r="Z28">
        <f>HYPERLINK("https://klasma.github.io/Logging_2506/fåglar/A 1478-2026 prioriterade fågelarter.docx", "A 1478-2026")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46083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46083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46083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46083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46083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46083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46083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46083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26503-2025</t>
        </is>
      </c>
      <c r="B37" s="1" t="n">
        <v>45807</v>
      </c>
      <c r="C37" s="1" t="n">
        <v>46083</v>
      </c>
      <c r="D37" t="inlineStr">
        <is>
          <t>NORRBOTTENS LÄN</t>
        </is>
      </c>
      <c r="E37" t="inlineStr">
        <is>
          <t>ARJEPLOG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Bergand</t>
        </is>
      </c>
      <c r="S37">
        <f>HYPERLINK("https://klasma.github.io/Logging_2506/artfynd/A 26503-2025 artfynd.xlsx", "A 26503-2025")</f>
        <v/>
      </c>
      <c r="T37">
        <f>HYPERLINK("https://klasma.github.io/Logging_2506/kartor/A 26503-2025 karta.png", "A 26503-2025")</f>
        <v/>
      </c>
      <c r="V37">
        <f>HYPERLINK("https://klasma.github.io/Logging_2506/klagomål/A 26503-2025 FSC-klagomål.docx", "A 26503-2025")</f>
        <v/>
      </c>
      <c r="W37">
        <f>HYPERLINK("https://klasma.github.io/Logging_2506/klagomålsmail/A 26503-2025 FSC-klagomål mail.docx", "A 26503-2025")</f>
        <v/>
      </c>
      <c r="X37">
        <f>HYPERLINK("https://klasma.github.io/Logging_2506/tillsyn/A 26503-2025 tillsynsbegäran.docx", "A 26503-2025")</f>
        <v/>
      </c>
      <c r="Y37">
        <f>HYPERLINK("https://klasma.github.io/Logging_2506/tillsynsmail/A 26503-2025 tillsynsbegäran mail.docx", "A 26503-2025")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46083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46083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46083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46083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46083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46083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46083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46083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46083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46083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46083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46083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46083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46083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46083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46083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46083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46083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46083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46083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46083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46083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36623-2023</t>
        </is>
      </c>
      <c r="B60" s="1" t="n">
        <v>45153</v>
      </c>
      <c r="C60" s="1" t="n">
        <v>46083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16.9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526-2025</t>
        </is>
      </c>
      <c r="B61" s="1" t="n">
        <v>45664</v>
      </c>
      <c r="C61" s="1" t="n">
        <v>46083</v>
      </c>
      <c r="D61" t="inlineStr">
        <is>
          <t>NORRBOTTENS LÄN</t>
        </is>
      </c>
      <c r="E61" t="inlineStr">
        <is>
          <t>ARJEPLOG</t>
        </is>
      </c>
      <c r="F61" t="inlineStr">
        <is>
          <t>Övriga statliga verk och myndigheter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46083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46083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46083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73880-2021</t>
        </is>
      </c>
      <c r="B65" s="1" t="n">
        <v>44552</v>
      </c>
      <c r="C65" s="1" t="n">
        <v>46083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23949-2024</t>
        </is>
      </c>
      <c r="B66" s="1" t="n">
        <v>45455</v>
      </c>
      <c r="C66" s="1" t="n">
        <v>46083</v>
      </c>
      <c r="D66" t="inlineStr">
        <is>
          <t>NORRBOTTENS LÄN</t>
        </is>
      </c>
      <c r="E66" t="inlineStr">
        <is>
          <t>ARJEPLOG</t>
        </is>
      </c>
      <c r="F66" t="inlineStr">
        <is>
          <t>SCA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35627-2025</t>
        </is>
      </c>
      <c r="B67" s="1" t="n">
        <v>45859</v>
      </c>
      <c r="C67" s="1" t="n">
        <v>46083</v>
      </c>
      <c r="D67" t="inlineStr">
        <is>
          <t>NORRBOTTENS LÄN</t>
        </is>
      </c>
      <c r="E67" t="inlineStr">
        <is>
          <t>ARJEPLOG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29667-2025</t>
        </is>
      </c>
      <c r="B68" s="1" t="n">
        <v>45825</v>
      </c>
      <c r="C68" s="1" t="n">
        <v>46083</v>
      </c>
      <c r="D68" t="inlineStr">
        <is>
          <t>NORRBOTTENS LÄN</t>
        </is>
      </c>
      <c r="E68" t="inlineStr">
        <is>
          <t>ARJEPLOG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55422-2021</t>
        </is>
      </c>
      <c r="B69" s="1" t="n">
        <v>44475</v>
      </c>
      <c r="C69" s="1" t="n">
        <v>46083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48940-2023</t>
        </is>
      </c>
      <c r="B70" s="1" t="n">
        <v>45205</v>
      </c>
      <c r="C70" s="1" t="n">
        <v>46083</v>
      </c>
      <c r="D70" t="inlineStr">
        <is>
          <t>NORRBOTTENS LÄN</t>
        </is>
      </c>
      <c r="E70" t="inlineStr">
        <is>
          <t>ARJEPLOG</t>
        </is>
      </c>
      <c r="G70" t="n">
        <v>13.5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46083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58989-2024</t>
        </is>
      </c>
      <c r="B72" s="1" t="n">
        <v>45636</v>
      </c>
      <c r="C72" s="1" t="n">
        <v>46083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25275-2023</t>
        </is>
      </c>
      <c r="B73" s="1" t="n">
        <v>45079</v>
      </c>
      <c r="C73" s="1" t="n">
        <v>46083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22.7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46083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46083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46083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46083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46083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46083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53822-2024</t>
        </is>
      </c>
      <c r="B80" s="1" t="n">
        <v>45614</v>
      </c>
      <c r="C80" s="1" t="n">
        <v>46083</v>
      </c>
      <c r="D80" t="inlineStr">
        <is>
          <t>NORRBOTTENS LÄN</t>
        </is>
      </c>
      <c r="E80" t="inlineStr">
        <is>
          <t>ARJEPLOG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28354-2022</t>
        </is>
      </c>
      <c r="B81" s="1" t="n">
        <v>44735</v>
      </c>
      <c r="C81" s="1" t="n">
        <v>46083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30606-2025</t>
        </is>
      </c>
      <c r="B82" s="1" t="n">
        <v>45831</v>
      </c>
      <c r="C82" s="1" t="n">
        <v>46083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70.40000000000001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30617-2025</t>
        </is>
      </c>
      <c r="B83" s="1" t="n">
        <v>45831</v>
      </c>
      <c r="C83" s="1" t="n">
        <v>46083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39.8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29662-2025</t>
        </is>
      </c>
      <c r="B84" s="1" t="n">
        <v>45825</v>
      </c>
      <c r="C84" s="1" t="n">
        <v>46083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23.7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46083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44943-2025</t>
        </is>
      </c>
      <c r="B86" s="1" t="n">
        <v>45918</v>
      </c>
      <c r="C86" s="1" t="n">
        <v>46083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30595-2025</t>
        </is>
      </c>
      <c r="B87" s="1" t="n">
        <v>45831</v>
      </c>
      <c r="C87" s="1" t="n">
        <v>46083</v>
      </c>
      <c r="D87" t="inlineStr">
        <is>
          <t>NORRBOTTENS LÄN</t>
        </is>
      </c>
      <c r="E87" t="inlineStr">
        <is>
          <t>ARJEPLOG</t>
        </is>
      </c>
      <c r="G87" t="n">
        <v>15.6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46083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50255-2023</t>
        </is>
      </c>
      <c r="B89" s="1" t="n">
        <v>45216</v>
      </c>
      <c r="C89" s="1" t="n">
        <v>46083</v>
      </c>
      <c r="D89" t="inlineStr">
        <is>
          <t>NORRBOTTENS LÄN</t>
        </is>
      </c>
      <c r="E89" t="inlineStr">
        <is>
          <t>ARJEPLOG</t>
        </is>
      </c>
      <c r="G89" t="n">
        <v>20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46747-2025</t>
        </is>
      </c>
      <c r="B90" s="1" t="n">
        <v>45926</v>
      </c>
      <c r="C90" s="1" t="n">
        <v>46083</v>
      </c>
      <c r="D90" t="inlineStr">
        <is>
          <t>NORRBOTTENS LÄN</t>
        </is>
      </c>
      <c r="E90" t="inlineStr">
        <is>
          <t>ARJEPLOG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46083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36779-2025</t>
        </is>
      </c>
      <c r="B92" s="1" t="n">
        <v>45873</v>
      </c>
      <c r="C92" s="1" t="n">
        <v>46083</v>
      </c>
      <c r="D92" t="inlineStr">
        <is>
          <t>NORRBOTTENS LÄN</t>
        </is>
      </c>
      <c r="E92" t="inlineStr">
        <is>
          <t>ARJEPLOG</t>
        </is>
      </c>
      <c r="G92" t="n">
        <v>17.2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46083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46083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45072-2023</t>
        </is>
      </c>
      <c r="B95" s="1" t="n">
        <v>45187</v>
      </c>
      <c r="C95" s="1" t="n">
        <v>46083</v>
      </c>
      <c r="D95" t="inlineStr">
        <is>
          <t>NORRBOTTENS LÄN</t>
        </is>
      </c>
      <c r="E95" t="inlineStr">
        <is>
          <t>ARJEPLOG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46083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46083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46083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54589-2021</t>
        </is>
      </c>
      <c r="B99" s="1" t="n">
        <v>44473</v>
      </c>
      <c r="C99" s="1" t="n">
        <v>46083</v>
      </c>
      <c r="D99" t="inlineStr">
        <is>
          <t>NORRBOTTENS LÄN</t>
        </is>
      </c>
      <c r="E99" t="inlineStr">
        <is>
          <t>ARJEPLOG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53246-2025</t>
        </is>
      </c>
      <c r="B100" s="1" t="n">
        <v>45958.64807870371</v>
      </c>
      <c r="C100" s="1" t="n">
        <v>46083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36.7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3006-2024</t>
        </is>
      </c>
      <c r="B101" s="1" t="n">
        <v>45315</v>
      </c>
      <c r="C101" s="1" t="n">
        <v>46083</v>
      </c>
      <c r="D101" t="inlineStr">
        <is>
          <t>NORRBOTTENS LÄN</t>
        </is>
      </c>
      <c r="E101" t="inlineStr">
        <is>
          <t>ARJEPLOG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46083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25440-2024</t>
        </is>
      </c>
      <c r="B103" s="1" t="n">
        <v>45463</v>
      </c>
      <c r="C103" s="1" t="n">
        <v>46083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30.7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55570-2025</t>
        </is>
      </c>
      <c r="B104" s="1" t="n">
        <v>45971.65667824074</v>
      </c>
      <c r="C104" s="1" t="n">
        <v>46083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34426-2025</t>
        </is>
      </c>
      <c r="B105" s="1" t="n">
        <v>45845</v>
      </c>
      <c r="C105" s="1" t="n">
        <v>46083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17536-2023</t>
        </is>
      </c>
      <c r="B106" s="1" t="n">
        <v>45034</v>
      </c>
      <c r="C106" s="1" t="n">
        <v>46083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26470-2024</t>
        </is>
      </c>
      <c r="B107" s="1" t="n">
        <v>45468</v>
      </c>
      <c r="C107" s="1" t="n">
        <v>46083</v>
      </c>
      <c r="D107" t="inlineStr">
        <is>
          <t>NORRBOTTENS LÄN</t>
        </is>
      </c>
      <c r="E107" t="inlineStr">
        <is>
          <t>ARJEPLOG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46083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14375-2021</t>
        </is>
      </c>
      <c r="B109" s="1" t="n">
        <v>44279</v>
      </c>
      <c r="C109" s="1" t="n">
        <v>46083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60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56754-2024</t>
        </is>
      </c>
      <c r="B110" s="1" t="n">
        <v>45625</v>
      </c>
      <c r="C110" s="1" t="n">
        <v>46083</v>
      </c>
      <c r="D110" t="inlineStr">
        <is>
          <t>NORRBOTTENS LÄN</t>
        </is>
      </c>
      <c r="E110" t="inlineStr">
        <is>
          <t>ARJEPLOG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56800-2024</t>
        </is>
      </c>
      <c r="B111" s="1" t="n">
        <v>45625</v>
      </c>
      <c r="C111" s="1" t="n">
        <v>46083</v>
      </c>
      <c r="D111" t="inlineStr">
        <is>
          <t>NORRBOTTENS LÄN</t>
        </is>
      </c>
      <c r="E111" t="inlineStr">
        <is>
          <t>ARJEPLOG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20905-2025</t>
        </is>
      </c>
      <c r="B112" s="1" t="n">
        <v>45777</v>
      </c>
      <c r="C112" s="1" t="n">
        <v>46083</v>
      </c>
      <c r="D112" t="inlineStr">
        <is>
          <t>NORRBOTTENS LÄN</t>
        </is>
      </c>
      <c r="E112" t="inlineStr">
        <is>
          <t>ARJEPLOG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46083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46083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46083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56782-2024</t>
        </is>
      </c>
      <c r="B116" s="1" t="n">
        <v>45625</v>
      </c>
      <c r="C116" s="1" t="n">
        <v>46083</v>
      </c>
      <c r="D116" t="inlineStr">
        <is>
          <t>NORRBOTTENS LÄN</t>
        </is>
      </c>
      <c r="E116" t="inlineStr">
        <is>
          <t>ARJEPLOG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56794-2024</t>
        </is>
      </c>
      <c r="B117" s="1" t="n">
        <v>45625</v>
      </c>
      <c r="C117" s="1" t="n">
        <v>46083</v>
      </c>
      <c r="D117" t="inlineStr">
        <is>
          <t>NORRBOTTENS LÄN</t>
        </is>
      </c>
      <c r="E117" t="inlineStr">
        <is>
          <t>ARJEPLOG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25928-2024</t>
        </is>
      </c>
      <c r="B118" s="1" t="n">
        <v>45467</v>
      </c>
      <c r="C118" s="1" t="n">
        <v>46083</v>
      </c>
      <c r="D118" t="inlineStr">
        <is>
          <t>NORRBOTTENS LÄN</t>
        </is>
      </c>
      <c r="E118" t="inlineStr">
        <is>
          <t>ARJEPLOG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46083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12409-2025</t>
        </is>
      </c>
      <c r="B120" s="1" t="n">
        <v>45730.43366898148</v>
      </c>
      <c r="C120" s="1" t="n">
        <v>46083</v>
      </c>
      <c r="D120" t="inlineStr">
        <is>
          <t>NORRBOTTENS LÄN</t>
        </is>
      </c>
      <c r="E120" t="inlineStr">
        <is>
          <t>ARJEPLOG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6642-2026</t>
        </is>
      </c>
      <c r="B121" s="1" t="n">
        <v>46056.53643518518</v>
      </c>
      <c r="C121" s="1" t="n">
        <v>46083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46083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38851-2025</t>
        </is>
      </c>
      <c r="B123" s="1" t="n">
        <v>45887.55271990741</v>
      </c>
      <c r="C123" s="1" t="n">
        <v>46083</v>
      </c>
      <c r="D123" t="inlineStr">
        <is>
          <t>NORRBOTTENS LÄN</t>
        </is>
      </c>
      <c r="E123" t="inlineStr">
        <is>
          <t>ARJEPLOG</t>
        </is>
      </c>
      <c r="G123" t="n">
        <v>15.2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44218-2023</t>
        </is>
      </c>
      <c r="B124" s="1" t="n">
        <v>45183</v>
      </c>
      <c r="C124" s="1" t="n">
        <v>46083</v>
      </c>
      <c r="D124" t="inlineStr">
        <is>
          <t>NORRBOTTENS LÄN</t>
        </is>
      </c>
      <c r="E124" t="inlineStr">
        <is>
          <t>ARJEPLOG</t>
        </is>
      </c>
      <c r="F124" t="inlineStr">
        <is>
          <t>Allmännings- och besparingsskogar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64837-2023</t>
        </is>
      </c>
      <c r="B125" s="1" t="n">
        <v>45281</v>
      </c>
      <c r="C125" s="1" t="n">
        <v>46083</v>
      </c>
      <c r="D125" t="inlineStr">
        <is>
          <t>NORRBOTTENS LÄN</t>
        </is>
      </c>
      <c r="E125" t="inlineStr">
        <is>
          <t>ARJEPLOG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64840-2023</t>
        </is>
      </c>
      <c r="B126" s="1" t="n">
        <v>45281</v>
      </c>
      <c r="C126" s="1" t="n">
        <v>46083</v>
      </c>
      <c r="D126" t="inlineStr">
        <is>
          <t>NORRBOTTENS LÄN</t>
        </is>
      </c>
      <c r="E126" t="inlineStr">
        <is>
          <t>ARJEPLOG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12447-2025</t>
        </is>
      </c>
      <c r="B127" s="1" t="n">
        <v>45730</v>
      </c>
      <c r="C127" s="1" t="n">
        <v>46083</v>
      </c>
      <c r="D127" t="inlineStr">
        <is>
          <t>NORRBOTTENS LÄN</t>
        </is>
      </c>
      <c r="E127" t="inlineStr">
        <is>
          <t>ARJEPLOG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64816-2023</t>
        </is>
      </c>
      <c r="B128" s="1" t="n">
        <v>45281</v>
      </c>
      <c r="C128" s="1" t="n">
        <v>46083</v>
      </c>
      <c r="D128" t="inlineStr">
        <is>
          <t>NORRBOTTENS LÄN</t>
        </is>
      </c>
      <c r="E128" t="inlineStr">
        <is>
          <t>ARJEPLOG</t>
        </is>
      </c>
      <c r="G128" t="n">
        <v>13.4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26479-2024</t>
        </is>
      </c>
      <c r="B129" s="1" t="n">
        <v>45468</v>
      </c>
      <c r="C129" s="1" t="n">
        <v>46083</v>
      </c>
      <c r="D129" t="inlineStr">
        <is>
          <t>NORRBOTTENS LÄN</t>
        </is>
      </c>
      <c r="E129" t="inlineStr">
        <is>
          <t>ARJEPLOG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25239-2023</t>
        </is>
      </c>
      <c r="B130" s="1" t="n">
        <v>45079</v>
      </c>
      <c r="C130" s="1" t="n">
        <v>46083</v>
      </c>
      <c r="D130" t="inlineStr">
        <is>
          <t>NORRBOTTENS LÄN</t>
        </is>
      </c>
      <c r="E130" t="inlineStr">
        <is>
          <t>ARJEPLOG</t>
        </is>
      </c>
      <c r="F130" t="inlineStr">
        <is>
          <t>Övriga statliga verk och myndigheter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46083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10476-2026</t>
        </is>
      </c>
      <c r="B132" s="1" t="n">
        <v>46076</v>
      </c>
      <c r="C132" s="1" t="n">
        <v>46083</v>
      </c>
      <c r="D132" t="inlineStr">
        <is>
          <t>NORRBOTTENS LÄN</t>
        </is>
      </c>
      <c r="E132" t="inlineStr">
        <is>
          <t>ARJEPLOG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46910-2024</t>
        </is>
      </c>
      <c r="B133" s="1" t="n">
        <v>45583</v>
      </c>
      <c r="C133" s="1" t="n">
        <v>46083</v>
      </c>
      <c r="D133" t="inlineStr">
        <is>
          <t>NORRBOTTENS LÄN</t>
        </is>
      </c>
      <c r="E133" t="inlineStr">
        <is>
          <t>ARJEPLOG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30870-2023</t>
        </is>
      </c>
      <c r="B134" s="1" t="n">
        <v>45113</v>
      </c>
      <c r="C134" s="1" t="n">
        <v>46083</v>
      </c>
      <c r="D134" t="inlineStr">
        <is>
          <t>NORRBOTTENS LÄN</t>
        </is>
      </c>
      <c r="E134" t="inlineStr">
        <is>
          <t>ARJEPLOG</t>
        </is>
      </c>
      <c r="F134" t="inlineStr">
        <is>
          <t>Allmännings- och besparingsskogar</t>
        </is>
      </c>
      <c r="G134" t="n">
        <v>25.5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64822-2023</t>
        </is>
      </c>
      <c r="B135" s="1" t="n">
        <v>45281</v>
      </c>
      <c r="C135" s="1" t="n">
        <v>46083</v>
      </c>
      <c r="D135" t="inlineStr">
        <is>
          <t>NORRBOTTENS LÄN</t>
        </is>
      </c>
      <c r="E135" t="inlineStr">
        <is>
          <t>ARJEPLOG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58370-2023</t>
        </is>
      </c>
      <c r="B136" s="1" t="n">
        <v>45250</v>
      </c>
      <c r="C136" s="1" t="n">
        <v>46083</v>
      </c>
      <c r="D136" t="inlineStr">
        <is>
          <t>NORRBOTTENS LÄN</t>
        </is>
      </c>
      <c r="E136" t="inlineStr">
        <is>
          <t>ARJEPLOG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25270-2023</t>
        </is>
      </c>
      <c r="B137" s="1" t="n">
        <v>45079</v>
      </c>
      <c r="C137" s="1" t="n">
        <v>46083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29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46083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46083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46083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46083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46083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46083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46083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46083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46083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2026-03-02T11:06:46Z</dcterms:created>
  <dcterms:modified xmlns:dcterms="http://purl.org/dc/terms/" xmlns:xsi="http://www.w3.org/2001/XMLSchema-instance" xsi:type="dcterms:W3CDTF">2026-03-02T11:06:46Z</dcterms:modified>
</cp:coreProperties>
</file>