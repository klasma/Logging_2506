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46283</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46283</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46283</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46283</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46283</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46283</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46283</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46283</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46283</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46283</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46283</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46283</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46283</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46283</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46283</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64837-2023</t>
        </is>
      </c>
      <c r="B17" t="inlineStr">
        <is>
          <t>avverkningsanmälan</t>
        </is>
      </c>
      <c r="C17" t="inlineStr">
        <is>
          <t>Föryngringsavverkning</t>
        </is>
      </c>
      <c r="D17" s="1" t="n">
        <v>45281</v>
      </c>
      <c r="E17" s="1" t="n">
        <v>46283</v>
      </c>
      <c r="F17" t="inlineStr">
        <is>
          <t>NORRBOTTENS LÄN</t>
        </is>
      </c>
      <c r="G17" t="inlineStr">
        <is>
          <t>ARJEPLOG</t>
        </is>
      </c>
      <c r="I17" t="n">
        <v>5</v>
      </c>
      <c r="J17" t="n">
        <v>3</v>
      </c>
      <c r="K17" t="n">
        <v>2</v>
      </c>
      <c r="L17" t="n">
        <v>12</v>
      </c>
      <c r="M17" t="n">
        <v>2</v>
      </c>
      <c r="N17" t="n">
        <v>0</v>
      </c>
      <c r="O17" t="n">
        <v>0</v>
      </c>
      <c r="P17" t="n">
        <v>0</v>
      </c>
      <c r="Q17" t="n">
        <v>14</v>
      </c>
      <c r="R17" t="n">
        <v>2</v>
      </c>
      <c r="S17" t="n">
        <v>17</v>
      </c>
      <c r="T17" t="n">
        <v>57</v>
      </c>
      <c r="U17" t="n">
        <v>57</v>
      </c>
      <c r="V17" s="2" t="inlineStr">
        <is>
          <t>Garnlav
Gränsticka
Blanksvart spiklav
Blågrå svartspik
Dvärgbägarlav
Gammelgransskål
Knottrig blåslav
Kolflarnlav
Kortskaftad ärgspik
Mörk kolflarnlav
Talltagel
Tretåig hackspett
Vedflamlav
Vedskivlav
Spindelblomster
Vedticka
Revlummer</t>
        </is>
      </c>
      <c r="W17">
        <f>HYPERLINK("https://klasma.github.io/Logging_2506/artfynd/A 64837-2023 artfynd.xlsx", "A 64837-2023")</f>
        <v/>
      </c>
      <c r="X17">
        <f>HYPERLINK("https://klasma.github.io/Logging_2506/kartor/A 64837-2023 karta.png", "A 64837-2023")</f>
        <v/>
      </c>
      <c r="Y17">
        <f>HYPERLINK("https://klasma.github.io/Logging_2506/kartor_geotiff/A 64837-2023 georefererad karta.tif", "A 64837-2023")</f>
        <v/>
      </c>
      <c r="AA17">
        <f>HYPERLINK("https://klasma.github.io/Logging_2506/klagomål/A 64837-2023 FSC-klagomål.docx", "A 64837-2023")</f>
        <v/>
      </c>
      <c r="AB17">
        <f>HYPERLINK("https://klasma.github.io/Logging_2506/klagomålsmail/A 64837-2023 FSC-klagomål mail.docx", "A 64837-2023")</f>
        <v/>
      </c>
      <c r="AC17">
        <f>HYPERLINK("https://klasma.github.io/Logging_2506/tillsyn/A 64837-2023 tillsynsbegäran.docx", "A 64837-2023")</f>
        <v/>
      </c>
      <c r="AD17">
        <f>HYPERLINK("https://klasma.github.io/Logging_2506/tillsynsmail/A 64837-2023 tillsynsbegäran mail.docx", "A 64837-2023")</f>
        <v/>
      </c>
      <c r="AE17">
        <f>HYPERLINK("https://klasma.github.io/Logging_2506/fåglar/A 64837-2023 prioriterade fågelarter.docx", "A 64837-2023")</f>
        <v/>
      </c>
    </row>
    <row r="18" ht="15" customHeight="1">
      <c r="A18" t="inlineStr">
        <is>
          <t>A 64805-2023</t>
        </is>
      </c>
      <c r="B18" t="inlineStr">
        <is>
          <t>avverkningsanmälan</t>
        </is>
      </c>
      <c r="C18" t="inlineStr">
        <is>
          <t>Föryngringsavverkning</t>
        </is>
      </c>
      <c r="D18" s="1" t="n">
        <v>45281</v>
      </c>
      <c r="E18" s="1" t="n">
        <v>46283</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24892-2026</t>
        </is>
      </c>
      <c r="B19" t="inlineStr">
        <is>
          <t>avverkningsanmälan</t>
        </is>
      </c>
      <c r="C19" t="inlineStr">
        <is>
          <t>Föryngringsavverkning</t>
        </is>
      </c>
      <c r="D19" s="1" t="n">
        <v>46174</v>
      </c>
      <c r="E19" s="1" t="n">
        <v>46283</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46283</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46283</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1479-2026</t>
        </is>
      </c>
      <c r="B22" t="inlineStr">
        <is>
          <t>avverkningsanmälan</t>
        </is>
      </c>
      <c r="C22" t="inlineStr">
        <is>
          <t>Föryngringsavverkning</t>
        </is>
      </c>
      <c r="D22" s="1" t="n">
        <v>46033</v>
      </c>
      <c r="E22" s="1" t="n">
        <v>46283</v>
      </c>
      <c r="F22" t="inlineStr">
        <is>
          <t>NORRBOTTENS LÄN</t>
        </is>
      </c>
      <c r="G22" t="inlineStr">
        <is>
          <t>ARJEPLOG</t>
        </is>
      </c>
      <c r="H22" t="inlineStr">
        <is>
          <t>Övriga statliga verk och myndigheter</t>
        </is>
      </c>
      <c r="I22" t="n">
        <v>10</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1479-2026 artfynd.xlsx", "A 1479-2026")</f>
        <v/>
      </c>
      <c r="X22">
        <f>HYPERLINK("https://klasma.github.io/Logging_2506/kartor/A 1479-2026 karta.png", "A 1479-2026")</f>
        <v/>
      </c>
      <c r="Y22">
        <f>HYPERLINK("https://klasma.github.io/Logging_2506/kartor_geotiff/A 1479-2026 georefererad karta.tif", "A 1479-2026")</f>
        <v/>
      </c>
      <c r="AA22">
        <f>HYPERLINK("https://klasma.github.io/Logging_2506/klagomål/A 1479-2026 FSC-klagomål.docx", "A 1479-2026")</f>
        <v/>
      </c>
      <c r="AB22">
        <f>HYPERLINK("https://klasma.github.io/Logging_2506/klagomålsmail/A 1479-2026 FSC-klagomål mail.docx", "A 1479-2026")</f>
        <v/>
      </c>
      <c r="AC22">
        <f>HYPERLINK("https://klasma.github.io/Logging_2506/tillsyn/A 1479-2026 tillsynsbegäran.docx", "A 1479-2026")</f>
        <v/>
      </c>
      <c r="AD22">
        <f>HYPERLINK("https://klasma.github.io/Logging_2506/tillsynsmail/A 1479-2026 tillsynsbegäran mail.docx", "A 1479-2026")</f>
        <v/>
      </c>
    </row>
    <row r="23" ht="15" customHeight="1">
      <c r="A23" t="inlineStr">
        <is>
          <t>A 1474-2026</t>
        </is>
      </c>
      <c r="B23" t="inlineStr">
        <is>
          <t>avverkningsanmälan</t>
        </is>
      </c>
      <c r="C23" t="inlineStr">
        <is>
          <t>Föryngringsavverkning</t>
        </is>
      </c>
      <c r="D23" s="1" t="n">
        <v>46033</v>
      </c>
      <c r="E23" s="1" t="n">
        <v>46283</v>
      </c>
      <c r="F23" t="inlineStr">
        <is>
          <t>NORRBOTTENS LÄN</t>
        </is>
      </c>
      <c r="G23" t="inlineStr">
        <is>
          <t>ARJEPLOG</t>
        </is>
      </c>
      <c r="H23" t="inlineStr">
        <is>
          <t>Övriga statliga verk och myndigheter</t>
        </is>
      </c>
      <c r="I23" t="n">
        <v>3.8</v>
      </c>
      <c r="J23" t="n">
        <v>2</v>
      </c>
      <c r="K23" t="n">
        <v>1</v>
      </c>
      <c r="L23" t="n">
        <v>6</v>
      </c>
      <c r="M23" t="n">
        <v>3</v>
      </c>
      <c r="N23" t="n">
        <v>0</v>
      </c>
      <c r="O23" t="n">
        <v>0</v>
      </c>
      <c r="P23" t="n">
        <v>0</v>
      </c>
      <c r="Q23" t="n">
        <v>9</v>
      </c>
      <c r="R23" t="n">
        <v>3</v>
      </c>
      <c r="S23" t="n">
        <v>10</v>
      </c>
      <c r="T23" t="n">
        <v>13</v>
      </c>
      <c r="U23" t="n">
        <v>11</v>
      </c>
      <c r="V23" s="2" t="inlineStr">
        <is>
          <t>Garnlav
Gränsticka
Ostticka
Gammelgransskål
Harticka
Knottrig blåslav
Tretåig hackspett
Ullticka
Vitgrynig nållav
Spindelblomster</t>
        </is>
      </c>
      <c r="W23">
        <f>HYPERLINK("https://klasma.github.io/Logging_2506/artfynd/A 1474-2026 artfynd.xlsx", "A 1474-2026")</f>
        <v/>
      </c>
      <c r="X23">
        <f>HYPERLINK("https://klasma.github.io/Logging_2506/kartor/A 1474-2026 karta.png", "A 1474-2026")</f>
        <v/>
      </c>
      <c r="Y23">
        <f>HYPERLINK("https://klasma.github.io/Logging_2506/kartor_geotiff/A 1474-2026 georefererad karta.tif", "A 1474-2026")</f>
        <v/>
      </c>
      <c r="AA23">
        <f>HYPERLINK("https://klasma.github.io/Logging_2506/klagomål/A 1474-2026 FSC-klagomål.docx", "A 1474-2026")</f>
        <v/>
      </c>
      <c r="AB23">
        <f>HYPERLINK("https://klasma.github.io/Logging_2506/klagomålsmail/A 1474-2026 FSC-klagomål mail.docx", "A 1474-2026")</f>
        <v/>
      </c>
      <c r="AC23">
        <f>HYPERLINK("https://klasma.github.io/Logging_2506/tillsyn/A 1474-2026 tillsynsbegäran.docx", "A 1474-2026")</f>
        <v/>
      </c>
      <c r="AD23">
        <f>HYPERLINK("https://klasma.github.io/Logging_2506/tillsynsmail/A 1474-2026 tillsynsbegäran mail.docx", "A 1474-2026")</f>
        <v/>
      </c>
      <c r="AE23">
        <f>HYPERLINK("https://klasma.github.io/Logging_2506/fåglar/A 1474-2026 prioriterade fågelarter.docx", "A 1474-2026")</f>
        <v/>
      </c>
    </row>
    <row r="24" ht="15" customHeight="1">
      <c r="A24" t="inlineStr">
        <is>
          <t>A 45030-2023</t>
        </is>
      </c>
      <c r="B24" t="inlineStr">
        <is>
          <t>avverkningsanmälan</t>
        </is>
      </c>
      <c r="C24" t="inlineStr">
        <is>
          <t>Föryngringsavverkning</t>
        </is>
      </c>
      <c r="D24" s="1" t="n">
        <v>45190</v>
      </c>
      <c r="E24" s="1" t="n">
        <v>46283</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45030-2023 artfynd.xlsx", "A 45030-2023")</f>
        <v/>
      </c>
      <c r="X24">
        <f>HYPERLINK("https://klasma.github.io/Logging_2506/kartor/A 45030-2023 karta.png", "A 45030-2023")</f>
        <v/>
      </c>
      <c r="Y24">
        <f>HYPERLINK("https://klasma.github.io/Logging_2506/kartor_geotiff/A 45030-2023 georefererad karta.tif", "A 45030-2023")</f>
        <v/>
      </c>
      <c r="AA24">
        <f>HYPERLINK("https://klasma.github.io/Logging_2506/klagomål/A 45030-2023 FSC-klagomål.docx", "A 45030-2023")</f>
        <v/>
      </c>
      <c r="AB24">
        <f>HYPERLINK("https://klasma.github.io/Logging_2506/klagomålsmail/A 45030-2023 FSC-klagomål mail.docx", "A 45030-2023")</f>
        <v/>
      </c>
      <c r="AC24">
        <f>HYPERLINK("https://klasma.github.io/Logging_2506/tillsyn/A 45030-2023 tillsynsbegäran.docx", "A 45030-2023")</f>
        <v/>
      </c>
      <c r="AD24">
        <f>HYPERLINK("https://klasma.github.io/Logging_2506/tillsynsmail/A 45030-2023 tillsynsbegäran mail.docx", "A 45030-2023")</f>
        <v/>
      </c>
      <c r="AE24">
        <f>HYPERLINK("https://klasma.github.io/Logging_2506/fåglar/A 45030-2023 prioriterade fågelarter.docx", "A 45030-2023")</f>
        <v/>
      </c>
    </row>
    <row r="25" ht="15" customHeight="1">
      <c r="A25" t="inlineStr">
        <is>
          <t>A 45417-2024</t>
        </is>
      </c>
      <c r="B25" t="inlineStr">
        <is>
          <t>avverkningsanmälan</t>
        </is>
      </c>
      <c r="C25" t="inlineStr">
        <is>
          <t>Föryngringsavverkning</t>
        </is>
      </c>
      <c r="D25" s="1" t="n">
        <v>45576</v>
      </c>
      <c r="E25" s="1" t="n">
        <v>46283</v>
      </c>
      <c r="F25" t="inlineStr">
        <is>
          <t>NORRBOTTENS LÄN</t>
        </is>
      </c>
      <c r="G25" t="inlineStr">
        <is>
          <t>ARJEPLOG</t>
        </is>
      </c>
      <c r="I25" t="n">
        <v>11.5</v>
      </c>
      <c r="J25" t="n">
        <v>2</v>
      </c>
      <c r="K25" t="n">
        <v>0</v>
      </c>
      <c r="L25" t="n">
        <v>10</v>
      </c>
      <c r="M25" t="n">
        <v>0</v>
      </c>
      <c r="N25" t="n">
        <v>0</v>
      </c>
      <c r="O25" t="n">
        <v>0</v>
      </c>
      <c r="P25" t="n">
        <v>0</v>
      </c>
      <c r="Q25" t="n">
        <v>10</v>
      </c>
      <c r="R25" t="n">
        <v>0</v>
      </c>
      <c r="S25" t="n">
        <v>10</v>
      </c>
      <c r="T25" t="n">
        <v>20</v>
      </c>
      <c r="U25" t="n">
        <v>20</v>
      </c>
      <c r="V25" s="2" t="inlineStr">
        <is>
          <t>Blanksvart spiklav
Dvärgbägarlav
Knottrig blåslav
Kortskaftad ärgspik
Rosenticka
Talltita
Tretåig hackspett
Ullticka
Vedskivlav
Vedtrappmossa</t>
        </is>
      </c>
      <c r="W25">
        <f>HYPERLINK("https://klasma.github.io/Logging_2506/artfynd/A 45417-2024 artfynd.xlsx", "A 45417-2024")</f>
        <v/>
      </c>
      <c r="X25">
        <f>HYPERLINK("https://klasma.github.io/Logging_2506/kartor/A 45417-2024 karta.png", "A 45417-2024")</f>
        <v/>
      </c>
      <c r="Y25">
        <f>HYPERLINK("https://klasma.github.io/Logging_2506/kartor_geotiff/A 45417-2024 georefererad karta.tif", "A 45417-2024")</f>
        <v/>
      </c>
      <c r="AA25">
        <f>HYPERLINK("https://klasma.github.io/Logging_2506/klagomål/A 45417-2024 FSC-klagomål.docx", "A 45417-2024")</f>
        <v/>
      </c>
      <c r="AB25">
        <f>HYPERLINK("https://klasma.github.io/Logging_2506/klagomålsmail/A 45417-2024 FSC-klagomål mail.docx", "A 45417-2024")</f>
        <v/>
      </c>
      <c r="AC25">
        <f>HYPERLINK("https://klasma.github.io/Logging_2506/tillsyn/A 45417-2024 tillsynsbegäran.docx", "A 45417-2024")</f>
        <v/>
      </c>
      <c r="AD25">
        <f>HYPERLINK("https://klasma.github.io/Logging_2506/tillsynsmail/A 45417-2024 tillsynsbegäran mail.docx", "A 45417-2024")</f>
        <v/>
      </c>
      <c r="AE25">
        <f>HYPERLINK("https://klasma.github.io/Logging_2506/fåglar/A 45417-2024 prioriterade fågelarter.docx", "A 45417-2024")</f>
        <v/>
      </c>
    </row>
    <row r="26" ht="15" customHeight="1">
      <c r="A26" t="inlineStr">
        <is>
          <t>A 31143-2025</t>
        </is>
      </c>
      <c r="B26" t="inlineStr">
        <is>
          <t>avverkningsanmälan</t>
        </is>
      </c>
      <c r="C26" t="inlineStr">
        <is>
          <t>Föryngringsavverkning</t>
        </is>
      </c>
      <c r="D26" s="1" t="n">
        <v>45831</v>
      </c>
      <c r="E26" s="1" t="n">
        <v>46283</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46283</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45032-2023</t>
        </is>
      </c>
      <c r="B28" t="inlineStr">
        <is>
          <t>avverkningsanmälan</t>
        </is>
      </c>
      <c r="C28" t="inlineStr">
        <is>
          <t>Föryngringsavverkning</t>
        </is>
      </c>
      <c r="D28" s="1" t="n">
        <v>45190</v>
      </c>
      <c r="E28" s="1" t="n">
        <v>46283</v>
      </c>
      <c r="F28" t="inlineStr">
        <is>
          <t>NORRBOTTENS LÄN</t>
        </is>
      </c>
      <c r="G28" t="inlineStr">
        <is>
          <t>ARJEPLOG</t>
        </is>
      </c>
      <c r="H28" t="inlineStr">
        <is>
          <t>Övriga statliga verk och myndigheter</t>
        </is>
      </c>
      <c r="I28" t="n">
        <v>6.3</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45032-2023 artfynd.xlsx", "A 45032-2023")</f>
        <v/>
      </c>
      <c r="X28">
        <f>HYPERLINK("https://klasma.github.io/Logging_2506/kartor/A 45032-2023 karta.png", "A 45032-2023")</f>
        <v/>
      </c>
      <c r="Y28">
        <f>HYPERLINK("https://klasma.github.io/Logging_2506/kartor_geotiff/A 45032-2023 georefererad karta.tif", "A 45032-2023")</f>
        <v/>
      </c>
      <c r="AA28">
        <f>HYPERLINK("https://klasma.github.io/Logging_2506/klagomål/A 45032-2023 FSC-klagomål.docx", "A 45032-2023")</f>
        <v/>
      </c>
      <c r="AB28">
        <f>HYPERLINK("https://klasma.github.io/Logging_2506/klagomålsmail/A 45032-2023 FSC-klagomål mail.docx", "A 45032-2023")</f>
        <v/>
      </c>
      <c r="AC28">
        <f>HYPERLINK("https://klasma.github.io/Logging_2506/tillsyn/A 45032-2023 tillsynsbegäran.docx", "A 45032-2023")</f>
        <v/>
      </c>
      <c r="AD28">
        <f>HYPERLINK("https://klasma.github.io/Logging_2506/tillsynsmail/A 45032-2023 tillsynsbegäran mail.docx", "A 45032-2023")</f>
        <v/>
      </c>
      <c r="AE28">
        <f>HYPERLINK("https://klasma.github.io/Logging_2506/fåglar/A 45032-2023 prioriterade fågelarter.docx", "A 45032-2023")</f>
        <v/>
      </c>
    </row>
    <row r="29" ht="15" customHeight="1">
      <c r="A29" t="inlineStr">
        <is>
          <t>A 48673-2023</t>
        </is>
      </c>
      <c r="B29" t="inlineStr">
        <is>
          <t>avverkningsanmälan</t>
        </is>
      </c>
      <c r="C29" t="inlineStr">
        <is>
          <t>Föryngringsavverkning</t>
        </is>
      </c>
      <c r="D29" s="1" t="n">
        <v>45203</v>
      </c>
      <c r="E29" s="1" t="n">
        <v>46283</v>
      </c>
      <c r="F29" t="inlineStr">
        <is>
          <t>NORRBOTTENS LÄN</t>
        </is>
      </c>
      <c r="G29" t="inlineStr">
        <is>
          <t>ARJEPLOG</t>
        </is>
      </c>
      <c r="I29" t="n">
        <v>32.7</v>
      </c>
      <c r="J29" t="n">
        <v>1</v>
      </c>
      <c r="K29" t="n">
        <v>0</v>
      </c>
      <c r="L29" t="n">
        <v>5</v>
      </c>
      <c r="M29" t="n">
        <v>3</v>
      </c>
      <c r="N29" t="n">
        <v>0</v>
      </c>
      <c r="O29" t="n">
        <v>0</v>
      </c>
      <c r="P29" t="n">
        <v>0</v>
      </c>
      <c r="Q29" t="n">
        <v>8</v>
      </c>
      <c r="R29" t="n">
        <v>3</v>
      </c>
      <c r="S29" t="n">
        <v>8</v>
      </c>
      <c r="T29" t="n">
        <v>8</v>
      </c>
      <c r="U29" t="n">
        <v>0</v>
      </c>
      <c r="V29" s="2" t="inlineStr">
        <is>
          <t>Garnlav
Gränsticka
Hökuggla
Harticka
Lunglav
Rosenticka
Rynkskinn
Ullticka</t>
        </is>
      </c>
      <c r="W29">
        <f>HYPERLINK("https://klasma.github.io/Logging_2506/artfynd/A 48673-2023 artfynd.xlsx", "A 48673-2023")</f>
        <v/>
      </c>
      <c r="X29">
        <f>HYPERLINK("https://klasma.github.io/Logging_2506/kartor/A 48673-2023 karta.png", "A 48673-2023")</f>
        <v/>
      </c>
      <c r="Y29">
        <f>HYPERLINK("https://klasma.github.io/Logging_2506/kartor_geotiff/A 48673-2023 georefererad karta.tif", "A 48673-2023")</f>
        <v/>
      </c>
      <c r="AA29">
        <f>HYPERLINK("https://klasma.github.io/Logging_2506/klagomål/A 48673-2023 FSC-klagomål.docx", "A 48673-2023")</f>
        <v/>
      </c>
      <c r="AB29">
        <f>HYPERLINK("https://klasma.github.io/Logging_2506/klagomålsmail/A 48673-2023 FSC-klagomål mail.docx", "A 48673-2023")</f>
        <v/>
      </c>
      <c r="AC29">
        <f>HYPERLINK("https://klasma.github.io/Logging_2506/tillsyn/A 48673-2023 tillsynsbegäran.docx", "A 48673-2023")</f>
        <v/>
      </c>
      <c r="AD29">
        <f>HYPERLINK("https://klasma.github.io/Logging_2506/tillsynsmail/A 48673-2023 tillsynsbegäran mail.docx", "A 48673-2023")</f>
        <v/>
      </c>
      <c r="AE29">
        <f>HYPERLINK("https://klasma.github.io/Logging_2506/fåglar/A 48673-2023 prioriterade fågelarter.docx", "A 48673-2023")</f>
        <v/>
      </c>
    </row>
    <row r="30" ht="15" customHeight="1">
      <c r="A30" t="inlineStr">
        <is>
          <t>A 1478-2026</t>
        </is>
      </c>
      <c r="B30" t="inlineStr">
        <is>
          <t>avverkningsanmälan</t>
        </is>
      </c>
      <c r="C30" t="inlineStr">
        <is>
          <t>Föryngringsavverkning</t>
        </is>
      </c>
      <c r="D30" s="1" t="n">
        <v>46033</v>
      </c>
      <c r="E30" s="1" t="n">
        <v>46283</v>
      </c>
      <c r="F30" t="inlineStr">
        <is>
          <t>NORRBOTTENS LÄN</t>
        </is>
      </c>
      <c r="G30" t="inlineStr">
        <is>
          <t>ARJEPLOG</t>
        </is>
      </c>
      <c r="H30" t="inlineStr">
        <is>
          <t>Övriga statliga verk och myndigheter</t>
        </is>
      </c>
      <c r="I30" t="n">
        <v>6.2</v>
      </c>
      <c r="J30" t="n">
        <v>1</v>
      </c>
      <c r="K30" t="n">
        <v>0</v>
      </c>
      <c r="L30" t="n">
        <v>6</v>
      </c>
      <c r="M30" t="n">
        <v>2</v>
      </c>
      <c r="N30" t="n">
        <v>0</v>
      </c>
      <c r="O30" t="n">
        <v>0</v>
      </c>
      <c r="P30" t="n">
        <v>0</v>
      </c>
      <c r="Q30" t="n">
        <v>8</v>
      </c>
      <c r="R30" t="n">
        <v>2</v>
      </c>
      <c r="S30" t="n">
        <v>8</v>
      </c>
      <c r="T30" t="n">
        <v>9</v>
      </c>
      <c r="U30" t="n">
        <v>7</v>
      </c>
      <c r="V30" s="2" t="inlineStr">
        <is>
          <t>Gränsticka
Vitskaftad svartspik
Gammelgransskål
Harticka
Knottrig blåslav
Tretåig hackspett
Vedtrappmossa
Vitgrynig nållav</t>
        </is>
      </c>
      <c r="W30">
        <f>HYPERLINK("https://klasma.github.io/Logging_2506/artfynd/A 1478-2026 artfynd.xlsx", "A 1478-2026")</f>
        <v/>
      </c>
      <c r="X30">
        <f>HYPERLINK("https://klasma.github.io/Logging_2506/kartor/A 1478-2026 karta.png", "A 1478-2026")</f>
        <v/>
      </c>
      <c r="Y30">
        <f>HYPERLINK("https://klasma.github.io/Logging_2506/kartor_geotiff/A 1478-2026 georefererad karta.tif", "A 1478-2026")</f>
        <v/>
      </c>
      <c r="AA30">
        <f>HYPERLINK("https://klasma.github.io/Logging_2506/klagomål/A 1478-2026 FSC-klagomål.docx", "A 1478-2026")</f>
        <v/>
      </c>
      <c r="AB30">
        <f>HYPERLINK("https://klasma.github.io/Logging_2506/klagomålsmail/A 1478-2026 FSC-klagomål mail.docx", "A 1478-2026")</f>
        <v/>
      </c>
      <c r="AC30">
        <f>HYPERLINK("https://klasma.github.io/Logging_2506/tillsyn/A 1478-2026 tillsynsbegäran.docx", "A 1478-2026")</f>
        <v/>
      </c>
      <c r="AD30">
        <f>HYPERLINK("https://klasma.github.io/Logging_2506/tillsynsmail/A 1478-2026 tillsynsbegäran mail.docx", "A 1478-2026")</f>
        <v/>
      </c>
      <c r="AE30">
        <f>HYPERLINK("https://klasma.github.io/Logging_2506/fåglar/A 1478-2026 prioriterade fågelarter.docx", "A 1478-2026")</f>
        <v/>
      </c>
    </row>
    <row r="31" ht="15" customHeight="1">
      <c r="A31" t="inlineStr">
        <is>
          <t>A 28351-2025</t>
        </is>
      </c>
      <c r="B31" t="inlineStr">
        <is>
          <t>avverkningsanmälan</t>
        </is>
      </c>
      <c r="C31" t="inlineStr">
        <is>
          <t>Föryngringsavverkning</t>
        </is>
      </c>
      <c r="D31" s="1" t="n">
        <v>45818</v>
      </c>
      <c r="E31" s="1" t="n">
        <v>46283</v>
      </c>
      <c r="F31" t="inlineStr">
        <is>
          <t>NORRBOTTENS LÄN</t>
        </is>
      </c>
      <c r="G31" t="inlineStr">
        <is>
          <t>ARJEPLOG</t>
        </is>
      </c>
      <c r="I31" t="n">
        <v>5.4</v>
      </c>
      <c r="J31" t="n">
        <v>0</v>
      </c>
      <c r="K31" t="n">
        <v>0</v>
      </c>
      <c r="L31" t="n">
        <v>6</v>
      </c>
      <c r="M31" t="n">
        <v>2</v>
      </c>
      <c r="N31" t="n">
        <v>0</v>
      </c>
      <c r="O31" t="n">
        <v>0</v>
      </c>
      <c r="P31" t="n">
        <v>0</v>
      </c>
      <c r="Q31" t="n">
        <v>8</v>
      </c>
      <c r="R31" t="n">
        <v>2</v>
      </c>
      <c r="S31" t="n">
        <v>8</v>
      </c>
      <c r="T31" t="n">
        <v>13</v>
      </c>
      <c r="U31" t="n">
        <v>13</v>
      </c>
      <c r="V31" s="2" t="inlineStr">
        <is>
          <t>Fläckporing
Garnlav
Blanksvart spiklav
Dropptaggsvamp
Dvärgbägarlav
Ullticka
Vedflamlav
Vedskivlav</t>
        </is>
      </c>
      <c r="W31">
        <f>HYPERLINK("https://klasma.github.io/Logging_2506/artfynd/A 28351-2025 artfynd.xlsx", "A 28351-2025")</f>
        <v/>
      </c>
      <c r="X31">
        <f>HYPERLINK("https://klasma.github.io/Logging_2506/kartor/A 28351-2025 karta.png", "A 28351-2025")</f>
        <v/>
      </c>
      <c r="Y31">
        <f>HYPERLINK("https://klasma.github.io/Logging_2506/kartor_geotiff/A 28351-2025 georefererad karta.tif", "A 28351-2025")</f>
        <v/>
      </c>
      <c r="AA31">
        <f>HYPERLINK("https://klasma.github.io/Logging_2506/klagomål/A 28351-2025 FSC-klagomål.docx", "A 28351-2025")</f>
        <v/>
      </c>
      <c r="AB31">
        <f>HYPERLINK("https://klasma.github.io/Logging_2506/klagomålsmail/A 28351-2025 FSC-klagomål mail.docx", "A 28351-2025")</f>
        <v/>
      </c>
      <c r="AC31">
        <f>HYPERLINK("https://klasma.github.io/Logging_2506/tillsyn/A 28351-2025 tillsynsbegäran.docx", "A 28351-2025")</f>
        <v/>
      </c>
      <c r="AD31">
        <f>HYPERLINK("https://klasma.github.io/Logging_2506/tillsynsmail/A 28351-2025 tillsynsbegäran mail.docx", "A 28351-2025")</f>
        <v/>
      </c>
    </row>
    <row r="32" ht="15" customHeight="1">
      <c r="A32" t="inlineStr">
        <is>
          <t>A 49079-2025</t>
        </is>
      </c>
      <c r="B32" t="inlineStr">
        <is>
          <t>avverkningsanmälan</t>
        </is>
      </c>
      <c r="C32" t="inlineStr">
        <is>
          <t>Föryngringsavverkning</t>
        </is>
      </c>
      <c r="D32" s="1" t="n">
        <v>45937</v>
      </c>
      <c r="E32" s="1" t="n">
        <v>46283</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46283</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46283</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46283</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46283</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26143-2024</t>
        </is>
      </c>
      <c r="B37" t="inlineStr">
        <is>
          <t>avverkningsanmälan</t>
        </is>
      </c>
      <c r="C37" t="inlineStr">
        <is>
          <t>Föryngringsavverkning</t>
        </is>
      </c>
      <c r="D37" s="1" t="n">
        <v>45467</v>
      </c>
      <c r="E37" s="1" t="n">
        <v>46283</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46283</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46283</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36564-2026</t>
        </is>
      </c>
      <c r="B40" t="inlineStr">
        <is>
          <t>avverkningsanmälan</t>
        </is>
      </c>
      <c r="C40" t="inlineStr">
        <is>
          <t>Föryngringsavverkning</t>
        </is>
      </c>
      <c r="D40" s="1" t="n">
        <v>46269</v>
      </c>
      <c r="E40" s="1" t="n">
        <v>46283</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45324-2022</t>
        </is>
      </c>
      <c r="B41" t="inlineStr">
        <is>
          <t>avverkningsanmälan</t>
        </is>
      </c>
      <c r="C41" t="inlineStr">
        <is>
          <t>Föryngringsavverkning</t>
        </is>
      </c>
      <c r="D41" s="1" t="n">
        <v>44841</v>
      </c>
      <c r="E41" s="1" t="n">
        <v>46283</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41375-2024</t>
        </is>
      </c>
      <c r="B42" t="inlineStr">
        <is>
          <t>avverkningsanmälan</t>
        </is>
      </c>
      <c r="C42" t="inlineStr">
        <is>
          <t>Avverkning för annat ändamål</t>
        </is>
      </c>
      <c r="D42" s="1" t="n">
        <v>45559</v>
      </c>
      <c r="E42" s="1" t="n">
        <v>46283</v>
      </c>
      <c r="F42" t="inlineStr">
        <is>
          <t>NORRBOTTENS LÄN</t>
        </is>
      </c>
      <c r="G42" t="inlineStr">
        <is>
          <t>ARJEPLOG</t>
        </is>
      </c>
      <c r="H42" t="inlineStr">
        <is>
          <t>Övriga statliga verk och myndigheter</t>
        </is>
      </c>
      <c r="I42" t="n">
        <v>5.9</v>
      </c>
      <c r="J42" t="n">
        <v>2</v>
      </c>
      <c r="K42" t="n">
        <v>1</v>
      </c>
      <c r="L42" t="n">
        <v>0</v>
      </c>
      <c r="M42" t="n">
        <v>0</v>
      </c>
      <c r="N42" t="n">
        <v>0</v>
      </c>
      <c r="O42" t="n">
        <v>0</v>
      </c>
      <c r="P42" t="n">
        <v>0</v>
      </c>
      <c r="Q42" t="n">
        <v>0</v>
      </c>
      <c r="R42" t="n">
        <v>0</v>
      </c>
      <c r="S42" t="n">
        <v>2</v>
      </c>
      <c r="T42" t="n">
        <v>4</v>
      </c>
      <c r="U42" t="n">
        <v>0</v>
      </c>
      <c r="V42" s="2" t="inlineStr">
        <is>
          <t>Korallrot
Brudsporre</t>
        </is>
      </c>
      <c r="W42">
        <f>HYPERLINK("https://klasma.github.io/Logging_2506/artfynd/A 41375-2024 artfynd.xlsx", "A 41375-2024")</f>
        <v/>
      </c>
      <c r="X42">
        <f>HYPERLINK("https://klasma.github.io/Logging_2506/kartor/A 41375-2024 karta.png", "A 41375-2024")</f>
        <v/>
      </c>
      <c r="Y42">
        <f>HYPERLINK("https://klasma.github.io/Logging_2506/kartor_geotiff/A 41375-2024 georefererad karta.tif", "A 41375-2024")</f>
        <v/>
      </c>
      <c r="AA42">
        <f>HYPERLINK("https://klasma.github.io/Logging_2506/klagomål/A 41375-2024 FSC-klagomål.docx", "A 41375-2024")</f>
        <v/>
      </c>
      <c r="AB42">
        <f>HYPERLINK("https://klasma.github.io/Logging_2506/klagomålsmail/A 41375-2024 FSC-klagomål mail.docx", "A 41375-2024")</f>
        <v/>
      </c>
      <c r="AC42">
        <f>HYPERLINK("https://klasma.github.io/Logging_2506/tillsyn/A 41375-2024 tillsynsbegäran.docx", "A 41375-2024")</f>
        <v/>
      </c>
      <c r="AD42">
        <f>HYPERLINK("https://klasma.github.io/Logging_2506/tillsynsmail/A 41375-2024 tillsynsbegäran mail.docx", "A 41375-2024")</f>
        <v/>
      </c>
    </row>
    <row r="43" ht="15" customHeight="1">
      <c r="A43" t="inlineStr">
        <is>
          <t>A 12789-2022</t>
        </is>
      </c>
      <c r="B43" t="inlineStr">
        <is>
          <t>avverkningsanmälan</t>
        </is>
      </c>
      <c r="C43" t="inlineStr">
        <is>
          <t>Föryngringsavverkning</t>
        </is>
      </c>
      <c r="D43" s="1" t="n">
        <v>44642</v>
      </c>
      <c r="E43" s="1" t="n">
        <v>46283</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10476-2026</t>
        </is>
      </c>
      <c r="B44" t="inlineStr">
        <is>
          <t>avverkningsanmälan</t>
        </is>
      </c>
      <c r="C44" t="inlineStr">
        <is>
          <t>Föryngringsavverkning</t>
        </is>
      </c>
      <c r="D44" s="1" t="n">
        <v>46076</v>
      </c>
      <c r="E44" s="1" t="n">
        <v>46283</v>
      </c>
      <c r="F44" t="inlineStr">
        <is>
          <t>NORRBOTTENS LÄN</t>
        </is>
      </c>
      <c r="G44" t="inlineStr">
        <is>
          <t>ARJEPLOG</t>
        </is>
      </c>
      <c r="I44" t="n">
        <v>3.2</v>
      </c>
      <c r="J44" t="n">
        <v>1</v>
      </c>
      <c r="K44" t="n">
        <v>1</v>
      </c>
      <c r="L44" t="n">
        <v>0</v>
      </c>
      <c r="M44" t="n">
        <v>0</v>
      </c>
      <c r="N44" t="n">
        <v>0</v>
      </c>
      <c r="O44" t="n">
        <v>0</v>
      </c>
      <c r="P44" t="n">
        <v>0</v>
      </c>
      <c r="Q44" t="n">
        <v>0</v>
      </c>
      <c r="R44" t="n">
        <v>0</v>
      </c>
      <c r="S44" t="n">
        <v>1</v>
      </c>
      <c r="T44" t="n">
        <v>1</v>
      </c>
      <c r="U44" t="n">
        <v>1</v>
      </c>
      <c r="V44" s="2" t="inlineStr">
        <is>
          <t>Spindelblomster</t>
        </is>
      </c>
      <c r="W44">
        <f>HYPERLINK("https://klasma.github.io/Logging_2506/artfynd/A 10476-2026 artfynd.xlsx", "A 10476-2026")</f>
        <v/>
      </c>
      <c r="X44">
        <f>HYPERLINK("https://klasma.github.io/Logging_2506/kartor/A 10476-2026 karta.png", "A 10476-2026")</f>
        <v/>
      </c>
      <c r="Y44">
        <f>HYPERLINK("https://klasma.github.io/Logging_2506/kartor_geotiff/A 10476-2026 georefererad karta.tif", "A 10476-2026")</f>
        <v/>
      </c>
      <c r="AA44">
        <f>HYPERLINK("https://klasma.github.io/Logging_2506/klagomål/A 10476-2026 FSC-klagomål.docx", "A 10476-2026")</f>
        <v/>
      </c>
      <c r="AB44">
        <f>HYPERLINK("https://klasma.github.io/Logging_2506/klagomålsmail/A 10476-2026 FSC-klagomål mail.docx", "A 10476-2026")</f>
        <v/>
      </c>
      <c r="AC44">
        <f>HYPERLINK("https://klasma.github.io/Logging_2506/tillsyn/A 10476-2026 tillsynsbegäran.docx", "A 10476-2026")</f>
        <v/>
      </c>
      <c r="AD44">
        <f>HYPERLINK("https://klasma.github.io/Logging_2506/tillsynsmail/A 10476-2026 tillsynsbegäran mail.docx", "A 10476-2026")</f>
        <v/>
      </c>
    </row>
    <row r="45" ht="15" customHeight="1">
      <c r="A45" t="inlineStr">
        <is>
          <t>A 20905-2025</t>
        </is>
      </c>
      <c r="B45" t="inlineStr">
        <is>
          <t>avverkningsanmälan</t>
        </is>
      </c>
      <c r="C45" t="inlineStr">
        <is>
          <t>Föryngringsavverkning</t>
        </is>
      </c>
      <c r="D45" s="1" t="n">
        <v>45777</v>
      </c>
      <c r="E45" s="1" t="n">
        <v>46283</v>
      </c>
      <c r="F45" t="inlineStr">
        <is>
          <t>NORRBOTTENS LÄN</t>
        </is>
      </c>
      <c r="G45" t="inlineStr">
        <is>
          <t>ARJEPLOG</t>
        </is>
      </c>
      <c r="I45" t="n">
        <v>10.6</v>
      </c>
      <c r="J45" t="n">
        <v>0</v>
      </c>
      <c r="K45" t="n">
        <v>0</v>
      </c>
      <c r="L45" t="n">
        <v>1</v>
      </c>
      <c r="M45" t="n">
        <v>0</v>
      </c>
      <c r="N45" t="n">
        <v>0</v>
      </c>
      <c r="O45" t="n">
        <v>0</v>
      </c>
      <c r="P45" t="n">
        <v>0</v>
      </c>
      <c r="Q45" t="n">
        <v>1</v>
      </c>
      <c r="R45" t="n">
        <v>0</v>
      </c>
      <c r="S45" t="n">
        <v>1</v>
      </c>
      <c r="T45" t="n">
        <v>1</v>
      </c>
      <c r="U45" t="n">
        <v>0</v>
      </c>
      <c r="V45" s="2" t="inlineStr">
        <is>
          <t>Vitfläckig guldvinge</t>
        </is>
      </c>
      <c r="W45">
        <f>HYPERLINK("https://klasma.github.io/Logging_2506/artfynd/A 20905-2025 artfynd.xlsx", "A 20905-2025")</f>
        <v/>
      </c>
      <c r="X45">
        <f>HYPERLINK("https://klasma.github.io/Logging_2506/kartor/A 20905-2025 karta.png", "A 20905-2025")</f>
        <v/>
      </c>
      <c r="Y45">
        <f>HYPERLINK("https://klasma.github.io/Logging_2506/kartor_geotiff/A 20905-2025 georefererad karta.tif", "A 20905-2025")</f>
        <v/>
      </c>
      <c r="AA45">
        <f>HYPERLINK("https://klasma.github.io/Logging_2506/klagomål/A 20905-2025 FSC-klagomål.docx", "A 20905-2025")</f>
        <v/>
      </c>
      <c r="AB45">
        <f>HYPERLINK("https://klasma.github.io/Logging_2506/klagomålsmail/A 20905-2025 FSC-klagomål mail.docx", "A 20905-2025")</f>
        <v/>
      </c>
      <c r="AC45">
        <f>HYPERLINK("https://klasma.github.io/Logging_2506/tillsyn/A 20905-2025 tillsynsbegäran.docx", "A 20905-2025")</f>
        <v/>
      </c>
      <c r="AD45">
        <f>HYPERLINK("https://klasma.github.io/Logging_2506/tillsynsmail/A 20905-2025 tillsynsbegäran mail.docx", "A 20905-2025")</f>
        <v/>
      </c>
    </row>
    <row r="46" ht="15" customHeight="1">
      <c r="A46" t="inlineStr">
        <is>
          <t>A 17549-2023</t>
        </is>
      </c>
      <c r="B46" t="inlineStr">
        <is>
          <t>avverkningsanmälan</t>
        </is>
      </c>
      <c r="C46" t="inlineStr">
        <is>
          <t>Föryngringsavverkning</t>
        </is>
      </c>
      <c r="D46" s="1" t="n">
        <v>45034</v>
      </c>
      <c r="E46" s="1" t="n">
        <v>46283</v>
      </c>
      <c r="F46" t="inlineStr">
        <is>
          <t>NORRBOTTENS LÄN</t>
        </is>
      </c>
      <c r="G46" t="inlineStr">
        <is>
          <t>ARJEPLOG</t>
        </is>
      </c>
      <c r="I46" t="n">
        <v>18.8</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HYPERLINK("https://klasma.github.io/Logging_2506/artfynd/A 17549-2023 artfynd.xlsx", "A 17549-2023")</f>
        <v/>
      </c>
      <c r="X46">
        <f>HYPERLINK("https://klasma.github.io/Logging_2506/kartor/A 17549-2023 karta.png", "A 17549-2023")</f>
        <v/>
      </c>
      <c r="Y46">
        <f>HYPERLINK("https://klasma.github.io/Logging_2506/kartor_geotiff/A 17549-2023 georefererad karta.tif", "A 17549-2023")</f>
        <v/>
      </c>
      <c r="AA46">
        <f>HYPERLINK("https://klasma.github.io/Logging_2506/klagomål/A 17549-2023 FSC-klagomål.docx", "A 17549-2023")</f>
        <v/>
      </c>
      <c r="AB46">
        <f>HYPERLINK("https://klasma.github.io/Logging_2506/klagomålsmail/A 17549-2023 FSC-klagomål mail.docx", "A 17549-2023")</f>
        <v/>
      </c>
      <c r="AC46">
        <f>HYPERLINK("https://klasma.github.io/Logging_2506/tillsyn/A 17549-2023 tillsynsbegäran.docx", "A 17549-2023")</f>
        <v/>
      </c>
      <c r="AD46">
        <f>HYPERLINK("https://klasma.github.io/Logging_2506/tillsynsmail/A 17549-2023 tillsynsbegäran mail.docx", "A 17549-2023")</f>
        <v/>
      </c>
      <c r="AE46">
        <f>HYPERLINK("https://klasma.github.io/Logging_2506/fåglar/A 17549-2023 prioriterade fågelarter.docx", "A 17549-2023")</f>
        <v/>
      </c>
    </row>
    <row r="47" ht="15" customHeight="1">
      <c r="A47" t="inlineStr">
        <is>
          <t>A 25279-2023</t>
        </is>
      </c>
      <c r="B47" t="inlineStr">
        <is>
          <t>avverkningsanmälan</t>
        </is>
      </c>
      <c r="C47" t="inlineStr">
        <is>
          <t>Föryngringsavverkning</t>
        </is>
      </c>
      <c r="D47" s="1" t="n">
        <v>45079</v>
      </c>
      <c r="E47" s="1" t="n">
        <v>46283</v>
      </c>
      <c r="F47" t="inlineStr">
        <is>
          <t>NORRBOTTENS LÄN</t>
        </is>
      </c>
      <c r="G47" t="inlineStr">
        <is>
          <t>ARJEPLOG</t>
        </is>
      </c>
      <c r="H47" t="inlineStr">
        <is>
          <t>Övriga statliga verk och myndigheter</t>
        </is>
      </c>
      <c r="I47" t="n">
        <v>6.9</v>
      </c>
      <c r="J47" t="n">
        <v>1</v>
      </c>
      <c r="K47" t="n">
        <v>1</v>
      </c>
      <c r="L47" t="n">
        <v>0</v>
      </c>
      <c r="M47" t="n">
        <v>0</v>
      </c>
      <c r="N47" t="n">
        <v>0</v>
      </c>
      <c r="O47" t="n">
        <v>0</v>
      </c>
      <c r="P47" t="n">
        <v>0</v>
      </c>
      <c r="Q47" t="n">
        <v>0</v>
      </c>
      <c r="R47" t="n">
        <v>0</v>
      </c>
      <c r="S47" t="n">
        <v>1</v>
      </c>
      <c r="T47" t="n">
        <v>1</v>
      </c>
      <c r="U47" t="n">
        <v>0</v>
      </c>
      <c r="V47" s="2" t="inlineStr">
        <is>
          <t>Plattlummer</t>
        </is>
      </c>
      <c r="W47">
        <f>HYPERLINK("https://klasma.github.io/Logging_2506/artfynd/A 25279-2023 artfynd.xlsx", "A 25279-2023")</f>
        <v/>
      </c>
      <c r="X47">
        <f>HYPERLINK("https://klasma.github.io/Logging_2506/kartor/A 25279-2023 karta.png", "A 25279-2023")</f>
        <v/>
      </c>
      <c r="Y47">
        <f>HYPERLINK("https://klasma.github.io/Logging_2506/kartor_geotiff/A 25279-2023 georefererad karta.tif", "A 25279-2023")</f>
        <v/>
      </c>
      <c r="AA47">
        <f>HYPERLINK("https://klasma.github.io/Logging_2506/klagomål/A 25279-2023 FSC-klagomål.docx", "A 25279-2023")</f>
        <v/>
      </c>
      <c r="AB47">
        <f>HYPERLINK("https://klasma.github.io/Logging_2506/klagomålsmail/A 25279-2023 FSC-klagomål mail.docx", "A 25279-2023")</f>
        <v/>
      </c>
      <c r="AC47">
        <f>HYPERLINK("https://klasma.github.io/Logging_2506/tillsyn/A 25279-2023 tillsynsbegäran.docx", "A 25279-2023")</f>
        <v/>
      </c>
      <c r="AD47">
        <f>HYPERLINK("https://klasma.github.io/Logging_2506/tillsynsmail/A 25279-2023 tillsynsbegäran mail.docx", "A 25279-2023")</f>
        <v/>
      </c>
    </row>
    <row r="48" ht="15" customHeight="1">
      <c r="A48" t="inlineStr">
        <is>
          <t>A 66844-2021</t>
        </is>
      </c>
      <c r="B48" t="inlineStr">
        <is>
          <t>avverkningsanmälan</t>
        </is>
      </c>
      <c r="C48" t="inlineStr">
        <is>
          <t>Föryngringsavverkning</t>
        </is>
      </c>
      <c r="D48" s="1" t="n">
        <v>44520</v>
      </c>
      <c r="E48" s="1" t="n">
        <v>46283</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46283</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46283</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46283</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46283</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46283</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46283</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46283</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46283</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46283</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56785-2024</t>
        </is>
      </c>
      <c r="B58" t="inlineStr">
        <is>
          <t>avverkningsanmälan</t>
        </is>
      </c>
      <c r="C58" t="inlineStr">
        <is>
          <t>Föryngringsavverkning</t>
        </is>
      </c>
      <c r="D58" s="1" t="n">
        <v>45625</v>
      </c>
      <c r="E58" s="1" t="n">
        <v>46283</v>
      </c>
      <c r="F58" t="inlineStr">
        <is>
          <t>NORRBOTTENS LÄN</t>
        </is>
      </c>
      <c r="G58" t="inlineStr">
        <is>
          <t>ARJEPLOG</t>
        </is>
      </c>
      <c r="I58" t="n">
        <v>11.2</v>
      </c>
      <c r="J58" t="n">
        <v>0</v>
      </c>
      <c r="K58" t="n">
        <v>0</v>
      </c>
      <c r="L58" t="n">
        <v>0</v>
      </c>
      <c r="M58" t="n">
        <v>0</v>
      </c>
      <c r="N58" t="n">
        <v>0</v>
      </c>
      <c r="O58" t="n">
        <v>0</v>
      </c>
      <c r="P58" t="n">
        <v>0</v>
      </c>
      <c r="Q58" t="n">
        <v>0</v>
      </c>
      <c r="R58" t="n">
        <v>0</v>
      </c>
      <c r="S58" t="n">
        <v>0</v>
      </c>
      <c r="T58" t="n">
        <v>0</v>
      </c>
      <c r="U58" t="n">
        <v>0</v>
      </c>
      <c r="V58" s="2" t="inlineStr"/>
    </row>
    <row r="59" ht="15" customHeight="1">
      <c r="A59" t="inlineStr">
        <is>
          <t>A 55124-2024</t>
        </is>
      </c>
      <c r="B59" t="inlineStr">
        <is>
          <t>avverkningsanmälan</t>
        </is>
      </c>
      <c r="C59" t="inlineStr">
        <is>
          <t>Föryngringsavverkning</t>
        </is>
      </c>
      <c r="D59" s="1" t="n">
        <v>45618</v>
      </c>
      <c r="E59" s="1" t="n">
        <v>46283</v>
      </c>
      <c r="F59" t="inlineStr">
        <is>
          <t>NORRBOTTENS LÄN</t>
        </is>
      </c>
      <c r="G59" t="inlineStr">
        <is>
          <t>ARJEPLOG</t>
        </is>
      </c>
      <c r="I59" t="n">
        <v>18.3</v>
      </c>
      <c r="J59" t="n">
        <v>0</v>
      </c>
      <c r="K59" t="n">
        <v>0</v>
      </c>
      <c r="L59" t="n">
        <v>0</v>
      </c>
      <c r="M59" t="n">
        <v>0</v>
      </c>
      <c r="N59" t="n">
        <v>0</v>
      </c>
      <c r="O59" t="n">
        <v>0</v>
      </c>
      <c r="P59" t="n">
        <v>0</v>
      </c>
      <c r="Q59" t="n">
        <v>0</v>
      </c>
      <c r="R59" t="n">
        <v>0</v>
      </c>
      <c r="S59" t="n">
        <v>0</v>
      </c>
      <c r="T59" t="n">
        <v>0</v>
      </c>
      <c r="U59" t="n">
        <v>0</v>
      </c>
      <c r="V59" s="2" t="inlineStr"/>
    </row>
    <row r="60" ht="15" customHeight="1">
      <c r="A60" t="inlineStr">
        <is>
          <t>A 26103-2024</t>
        </is>
      </c>
      <c r="B60" t="inlineStr">
        <is>
          <t>avverkningsanmälan</t>
        </is>
      </c>
      <c r="C60" t="inlineStr">
        <is>
          <t>Föryngringsavverkning</t>
        </is>
      </c>
      <c r="D60" s="1" t="n">
        <v>45467</v>
      </c>
      <c r="E60" s="1" t="n">
        <v>46283</v>
      </c>
      <c r="F60" t="inlineStr">
        <is>
          <t>NORRBOTTENS LÄN</t>
        </is>
      </c>
      <c r="G60" t="inlineStr">
        <is>
          <t>ARJEPLOG</t>
        </is>
      </c>
      <c r="I60" t="n">
        <v>17.2</v>
      </c>
      <c r="J60" t="n">
        <v>0</v>
      </c>
      <c r="K60" t="n">
        <v>0</v>
      </c>
      <c r="L60" t="n">
        <v>0</v>
      </c>
      <c r="M60" t="n">
        <v>0</v>
      </c>
      <c r="N60" t="n">
        <v>0</v>
      </c>
      <c r="O60" t="n">
        <v>0</v>
      </c>
      <c r="P60" t="n">
        <v>0</v>
      </c>
      <c r="Q60" t="n">
        <v>0</v>
      </c>
      <c r="R60" t="n">
        <v>0</v>
      </c>
      <c r="S60" t="n">
        <v>0</v>
      </c>
      <c r="T60" t="n">
        <v>0</v>
      </c>
      <c r="U60" t="n">
        <v>0</v>
      </c>
      <c r="V60" s="2" t="inlineStr"/>
    </row>
    <row r="61" ht="15" customHeight="1">
      <c r="A61" t="inlineStr">
        <is>
          <t>A 35194-2024</t>
        </is>
      </c>
      <c r="B61" t="inlineStr">
        <is>
          <t>avverkningsanmälan</t>
        </is>
      </c>
      <c r="C61" t="inlineStr">
        <is>
          <t>Föryngringsavverkning</t>
        </is>
      </c>
      <c r="D61" s="1" t="n">
        <v>45530</v>
      </c>
      <c r="E61" s="1" t="n">
        <v>46283</v>
      </c>
      <c r="F61" t="inlineStr">
        <is>
          <t>NORRBOTTENS LÄN</t>
        </is>
      </c>
      <c r="G61" t="inlineStr">
        <is>
          <t>ARJEPLOG</t>
        </is>
      </c>
      <c r="I61" t="n">
        <v>20.1</v>
      </c>
      <c r="J61" t="n">
        <v>0</v>
      </c>
      <c r="K61" t="n">
        <v>0</v>
      </c>
      <c r="L61" t="n">
        <v>0</v>
      </c>
      <c r="M61" t="n">
        <v>0</v>
      </c>
      <c r="N61" t="n">
        <v>0</v>
      </c>
      <c r="O61" t="n">
        <v>0</v>
      </c>
      <c r="P61" t="n">
        <v>0</v>
      </c>
      <c r="Q61" t="n">
        <v>0</v>
      </c>
      <c r="R61" t="n">
        <v>0</v>
      </c>
      <c r="S61" t="n">
        <v>0</v>
      </c>
      <c r="T61" t="n">
        <v>0</v>
      </c>
      <c r="U61" t="n">
        <v>0</v>
      </c>
      <c r="V61" s="2" t="inlineStr"/>
    </row>
    <row r="62" ht="15" customHeight="1">
      <c r="A62" t="inlineStr">
        <is>
          <t>A 36623-2023</t>
        </is>
      </c>
      <c r="B62" t="inlineStr">
        <is>
          <t>avverkningsanmälan</t>
        </is>
      </c>
      <c r="C62" t="inlineStr">
        <is>
          <t>Föryngringsavverkning</t>
        </is>
      </c>
      <c r="D62" s="1" t="n">
        <v>45153</v>
      </c>
      <c r="E62" s="1" t="n">
        <v>46283</v>
      </c>
      <c r="F62" t="inlineStr">
        <is>
          <t>NORRBOTTENS LÄN</t>
        </is>
      </c>
      <c r="G62" t="inlineStr">
        <is>
          <t>ARJEPLOG</t>
        </is>
      </c>
      <c r="H62" t="inlineStr">
        <is>
          <t>Sveaskog</t>
        </is>
      </c>
      <c r="I62" t="n">
        <v>16.9</v>
      </c>
      <c r="J62" t="n">
        <v>0</v>
      </c>
      <c r="K62" t="n">
        <v>0</v>
      </c>
      <c r="L62" t="n">
        <v>0</v>
      </c>
      <c r="M62" t="n">
        <v>0</v>
      </c>
      <c r="N62" t="n">
        <v>0</v>
      </c>
      <c r="O62" t="n">
        <v>0</v>
      </c>
      <c r="P62" t="n">
        <v>0</v>
      </c>
      <c r="Q62" t="n">
        <v>0</v>
      </c>
      <c r="R62" t="n">
        <v>0</v>
      </c>
      <c r="S62" t="n">
        <v>0</v>
      </c>
      <c r="T62" t="n">
        <v>0</v>
      </c>
      <c r="U62" t="n">
        <v>0</v>
      </c>
      <c r="V62" s="2" t="inlineStr"/>
    </row>
    <row r="63" ht="15" customHeight="1">
      <c r="A63" t="inlineStr">
        <is>
          <t>A 526-2025</t>
        </is>
      </c>
      <c r="B63" t="inlineStr">
        <is>
          <t>avverkningsanmälan</t>
        </is>
      </c>
      <c r="C63" t="inlineStr">
        <is>
          <t>Avverkning för annat ändamål</t>
        </is>
      </c>
      <c r="D63" s="1" t="n">
        <v>45664</v>
      </c>
      <c r="E63" s="1" t="n">
        <v>46283</v>
      </c>
      <c r="F63" t="inlineStr">
        <is>
          <t>NORRBOTTENS LÄN</t>
        </is>
      </c>
      <c r="G63" t="inlineStr">
        <is>
          <t>ARJEPLOG</t>
        </is>
      </c>
      <c r="H63" t="inlineStr">
        <is>
          <t>Övriga statliga verk och myndigheter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64832-2023</t>
        </is>
      </c>
      <c r="B64" t="inlineStr">
        <is>
          <t>avverkningsanmälan</t>
        </is>
      </c>
      <c r="C64" t="inlineStr">
        <is>
          <t>Föryngringsavverkning</t>
        </is>
      </c>
      <c r="D64" s="1" t="n">
        <v>45281</v>
      </c>
      <c r="E64" s="1" t="n">
        <v>46283</v>
      </c>
      <c r="F64" t="inlineStr">
        <is>
          <t>NORRBOTTENS LÄN</t>
        </is>
      </c>
      <c r="G64" t="inlineStr">
        <is>
          <t>ARJEPLOG</t>
        </is>
      </c>
      <c r="I64" t="n">
        <v>43.6</v>
      </c>
      <c r="J64" t="n">
        <v>0</v>
      </c>
      <c r="K64" t="n">
        <v>0</v>
      </c>
      <c r="L64" t="n">
        <v>0</v>
      </c>
      <c r="M64" t="n">
        <v>0</v>
      </c>
      <c r="N64" t="n">
        <v>0</v>
      </c>
      <c r="O64" t="n">
        <v>0</v>
      </c>
      <c r="P64" t="n">
        <v>0</v>
      </c>
      <c r="Q64" t="n">
        <v>0</v>
      </c>
      <c r="R64" t="n">
        <v>0</v>
      </c>
      <c r="S64" t="n">
        <v>0</v>
      </c>
      <c r="T64" t="n">
        <v>0</v>
      </c>
      <c r="U64" t="n">
        <v>0</v>
      </c>
      <c r="V64" s="2" t="inlineStr"/>
    </row>
    <row r="65" ht="15" customHeight="1">
      <c r="A65" t="inlineStr">
        <is>
          <t>A 23949-2024</t>
        </is>
      </c>
      <c r="B65" t="inlineStr">
        <is>
          <t>avverkningsanmälan</t>
        </is>
      </c>
      <c r="C65" t="inlineStr">
        <is>
          <t>Föryngringsavverkning</t>
        </is>
      </c>
      <c r="D65" s="1" t="n">
        <v>45455</v>
      </c>
      <c r="E65" s="1" t="n">
        <v>46283</v>
      </c>
      <c r="F65" t="inlineStr">
        <is>
          <t>NORRBOTTENS LÄN</t>
        </is>
      </c>
      <c r="G65" t="inlineStr">
        <is>
          <t>ARJEPLOG</t>
        </is>
      </c>
      <c r="H65" t="inlineStr">
        <is>
          <t>SCA</t>
        </is>
      </c>
      <c r="I65" t="n">
        <v>3.9</v>
      </c>
      <c r="J65" t="n">
        <v>0</v>
      </c>
      <c r="K65" t="n">
        <v>0</v>
      </c>
      <c r="L65" t="n">
        <v>0</v>
      </c>
      <c r="M65" t="n">
        <v>0</v>
      </c>
      <c r="N65" t="n">
        <v>0</v>
      </c>
      <c r="O65" t="n">
        <v>0</v>
      </c>
      <c r="P65" t="n">
        <v>0</v>
      </c>
      <c r="Q65" t="n">
        <v>0</v>
      </c>
      <c r="R65" t="n">
        <v>0</v>
      </c>
      <c r="S65" t="n">
        <v>0</v>
      </c>
      <c r="T65" t="n">
        <v>0</v>
      </c>
      <c r="U65" t="n">
        <v>0</v>
      </c>
      <c r="V65" s="2" t="inlineStr"/>
    </row>
    <row r="66" ht="15" customHeight="1">
      <c r="A66" t="inlineStr">
        <is>
          <t>A 31104-2025</t>
        </is>
      </c>
      <c r="B66" t="inlineStr">
        <is>
          <t>avverkningsanmälan</t>
        </is>
      </c>
      <c r="C66" t="inlineStr">
        <is>
          <t>Föryngringsavverkning</t>
        </is>
      </c>
      <c r="D66" s="1" t="n">
        <v>45832</v>
      </c>
      <c r="E66" s="1" t="n">
        <v>46283</v>
      </c>
      <c r="F66" t="inlineStr">
        <is>
          <t>NORRBOTTENS LÄN</t>
        </is>
      </c>
      <c r="G66" t="inlineStr">
        <is>
          <t>ARJEPLOG</t>
        </is>
      </c>
      <c r="I66" t="n">
        <v>4.3</v>
      </c>
      <c r="J66" t="n">
        <v>0</v>
      </c>
      <c r="K66" t="n">
        <v>0</v>
      </c>
      <c r="L66" t="n">
        <v>0</v>
      </c>
      <c r="M66" t="n">
        <v>0</v>
      </c>
      <c r="N66" t="n">
        <v>0</v>
      </c>
      <c r="O66" t="n">
        <v>0</v>
      </c>
      <c r="P66" t="n">
        <v>0</v>
      </c>
      <c r="Q66" t="n">
        <v>0</v>
      </c>
      <c r="R66" t="n">
        <v>0</v>
      </c>
      <c r="S66" t="n">
        <v>0</v>
      </c>
      <c r="T66" t="n">
        <v>0</v>
      </c>
      <c r="U66" t="n">
        <v>0</v>
      </c>
      <c r="V66" s="2" t="inlineStr"/>
    </row>
    <row r="67" ht="15" customHeight="1">
      <c r="A67" t="inlineStr">
        <is>
          <t>A 25275-2023</t>
        </is>
      </c>
      <c r="B67" t="inlineStr">
        <is>
          <t>avverkningsanmälan</t>
        </is>
      </c>
      <c r="C67" t="inlineStr">
        <is>
          <t>Föryngringsavverkning</t>
        </is>
      </c>
      <c r="D67" s="1" t="n">
        <v>45079</v>
      </c>
      <c r="E67" s="1" t="n">
        <v>46283</v>
      </c>
      <c r="F67" t="inlineStr">
        <is>
          <t>NORRBOTTENS LÄN</t>
        </is>
      </c>
      <c r="G67" t="inlineStr">
        <is>
          <t>ARJEPLOG</t>
        </is>
      </c>
      <c r="H67" t="inlineStr">
        <is>
          <t>Övriga statliga verk och myndigheter</t>
        </is>
      </c>
      <c r="I67" t="n">
        <v>22.7</v>
      </c>
      <c r="J67" t="n">
        <v>0</v>
      </c>
      <c r="K67" t="n">
        <v>0</v>
      </c>
      <c r="L67" t="n">
        <v>0</v>
      </c>
      <c r="M67" t="n">
        <v>0</v>
      </c>
      <c r="N67" t="n">
        <v>0</v>
      </c>
      <c r="O67" t="n">
        <v>0</v>
      </c>
      <c r="P67" t="n">
        <v>0</v>
      </c>
      <c r="Q67" t="n">
        <v>0</v>
      </c>
      <c r="R67" t="n">
        <v>0</v>
      </c>
      <c r="S67" t="n">
        <v>0</v>
      </c>
      <c r="T67" t="n">
        <v>0</v>
      </c>
      <c r="U67" t="n">
        <v>0</v>
      </c>
      <c r="V67" s="2" t="inlineStr"/>
    </row>
    <row r="68" ht="15" customHeight="1">
      <c r="A68" t="inlineStr">
        <is>
          <t>A 58989-2024</t>
        </is>
      </c>
      <c r="B68" t="inlineStr">
        <is>
          <t>avverkningsanmälan</t>
        </is>
      </c>
      <c r="C68" t="inlineStr">
        <is>
          <t>Avverkning för annat ändamål</t>
        </is>
      </c>
      <c r="D68" s="1" t="n">
        <v>45636</v>
      </c>
      <c r="E68" s="1" t="n">
        <v>46283</v>
      </c>
      <c r="F68" t="inlineStr">
        <is>
          <t>NORRBOTTENS LÄN</t>
        </is>
      </c>
      <c r="G68" t="inlineStr">
        <is>
          <t>ARJEPLOG</t>
        </is>
      </c>
      <c r="H68" t="inlineStr">
        <is>
          <t>Sveaskog</t>
        </is>
      </c>
      <c r="I68" t="n">
        <v>3.5</v>
      </c>
      <c r="J68" t="n">
        <v>0</v>
      </c>
      <c r="K68" t="n">
        <v>0</v>
      </c>
      <c r="L68" t="n">
        <v>0</v>
      </c>
      <c r="M68" t="n">
        <v>0</v>
      </c>
      <c r="N68" t="n">
        <v>0</v>
      </c>
      <c r="O68" t="n">
        <v>0</v>
      </c>
      <c r="P68" t="n">
        <v>0</v>
      </c>
      <c r="Q68" t="n">
        <v>0</v>
      </c>
      <c r="R68" t="n">
        <v>0</v>
      </c>
      <c r="S68" t="n">
        <v>0</v>
      </c>
      <c r="T68" t="n">
        <v>0</v>
      </c>
      <c r="U68" t="n">
        <v>0</v>
      </c>
      <c r="V68" s="2" t="inlineStr"/>
    </row>
    <row r="69" ht="15" customHeight="1">
      <c r="A69" t="inlineStr">
        <is>
          <t>A 55422-2021</t>
        </is>
      </c>
      <c r="B69" t="inlineStr">
        <is>
          <t>avverkningsanmälan</t>
        </is>
      </c>
      <c r="C69" t="inlineStr">
        <is>
          <t>Avverkning för annat ändamål</t>
        </is>
      </c>
      <c r="D69" s="1" t="n">
        <v>44475</v>
      </c>
      <c r="E69" s="1" t="n">
        <v>46283</v>
      </c>
      <c r="F69" t="inlineStr">
        <is>
          <t>NORRBOTTENS LÄN</t>
        </is>
      </c>
      <c r="G69" t="inlineStr">
        <is>
          <t>ARJEPLOG</t>
        </is>
      </c>
      <c r="H69" t="inlineStr">
        <is>
          <t>Sveaskog</t>
        </is>
      </c>
      <c r="I69" t="n">
        <v>4.1</v>
      </c>
      <c r="J69" t="n">
        <v>0</v>
      </c>
      <c r="K69" t="n">
        <v>0</v>
      </c>
      <c r="L69" t="n">
        <v>0</v>
      </c>
      <c r="M69" t="n">
        <v>0</v>
      </c>
      <c r="N69" t="n">
        <v>0</v>
      </c>
      <c r="O69" t="n">
        <v>0</v>
      </c>
      <c r="P69" t="n">
        <v>0</v>
      </c>
      <c r="Q69" t="n">
        <v>0</v>
      </c>
      <c r="R69" t="n">
        <v>0</v>
      </c>
      <c r="S69" t="n">
        <v>0</v>
      </c>
      <c r="T69" t="n">
        <v>0</v>
      </c>
      <c r="U69" t="n">
        <v>0</v>
      </c>
      <c r="V69" s="2" t="inlineStr"/>
    </row>
    <row r="70" ht="15" customHeight="1">
      <c r="A70" t="inlineStr">
        <is>
          <t>A 25559-2022</t>
        </is>
      </c>
      <c r="B70" t="inlineStr">
        <is>
          <t>avverkningsanmälan</t>
        </is>
      </c>
      <c r="C70" t="inlineStr">
        <is>
          <t>Föryngringsavverkning</t>
        </is>
      </c>
      <c r="D70" s="1" t="n">
        <v>44732</v>
      </c>
      <c r="E70" s="1" t="n">
        <v>46283</v>
      </c>
      <c r="F70" t="inlineStr">
        <is>
          <t>NORRBOTTENS LÄN</t>
        </is>
      </c>
      <c r="G70" t="inlineStr">
        <is>
          <t>ARJEPLOG</t>
        </is>
      </c>
      <c r="H70" t="inlineStr">
        <is>
          <t>Övriga statliga verk och myndigheter</t>
        </is>
      </c>
      <c r="I70" t="n">
        <v>39</v>
      </c>
      <c r="J70" t="n">
        <v>0</v>
      </c>
      <c r="K70" t="n">
        <v>0</v>
      </c>
      <c r="L70" t="n">
        <v>0</v>
      </c>
      <c r="M70" t="n">
        <v>0</v>
      </c>
      <c r="N70" t="n">
        <v>0</v>
      </c>
      <c r="O70" t="n">
        <v>0</v>
      </c>
      <c r="P70" t="n">
        <v>0</v>
      </c>
      <c r="Q70" t="n">
        <v>0</v>
      </c>
      <c r="R70" t="n">
        <v>0</v>
      </c>
      <c r="S70" t="n">
        <v>0</v>
      </c>
      <c r="T70" t="n">
        <v>0</v>
      </c>
      <c r="U70" t="n">
        <v>0</v>
      </c>
      <c r="V70" s="2" t="inlineStr"/>
    </row>
    <row r="71" ht="15" customHeight="1">
      <c r="A71" t="inlineStr">
        <is>
          <t>A 25270-2023</t>
        </is>
      </c>
      <c r="B71" t="inlineStr">
        <is>
          <t>avverkningsanmälan</t>
        </is>
      </c>
      <c r="C71" t="inlineStr">
        <is>
          <t>Föryngringsavverkning</t>
        </is>
      </c>
      <c r="D71" s="1" t="n">
        <v>45079</v>
      </c>
      <c r="E71" s="1" t="n">
        <v>46283</v>
      </c>
      <c r="F71" t="inlineStr">
        <is>
          <t>NORRBOTTENS LÄN</t>
        </is>
      </c>
      <c r="G71" t="inlineStr">
        <is>
          <t>ARJEPLOG</t>
        </is>
      </c>
      <c r="H71" t="inlineStr">
        <is>
          <t>Övriga statliga verk och myndigheter</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29662-2025</t>
        </is>
      </c>
      <c r="B72" t="inlineStr">
        <is>
          <t>avverkningsanmälan</t>
        </is>
      </c>
      <c r="C72" t="inlineStr">
        <is>
          <t>Föryngringsavverkning</t>
        </is>
      </c>
      <c r="D72" s="1" t="n">
        <v>45825</v>
      </c>
      <c r="E72" s="1" t="n">
        <v>46283</v>
      </c>
      <c r="F72" t="inlineStr">
        <is>
          <t>NORRBOTTENS LÄN</t>
        </is>
      </c>
      <c r="G72" t="inlineStr">
        <is>
          <t>ARJEPLOG</t>
        </is>
      </c>
      <c r="H72" t="inlineStr">
        <is>
          <t>Allmännings- och besparingsskogar</t>
        </is>
      </c>
      <c r="I72" t="n">
        <v>23.7</v>
      </c>
      <c r="J72" t="n">
        <v>0</v>
      </c>
      <c r="K72" t="n">
        <v>0</v>
      </c>
      <c r="L72" t="n">
        <v>0</v>
      </c>
      <c r="M72" t="n">
        <v>0</v>
      </c>
      <c r="N72" t="n">
        <v>0</v>
      </c>
      <c r="O72" t="n">
        <v>0</v>
      </c>
      <c r="P72" t="n">
        <v>0</v>
      </c>
      <c r="Q72" t="n">
        <v>0</v>
      </c>
      <c r="R72" t="n">
        <v>0</v>
      </c>
      <c r="S72" t="n">
        <v>0</v>
      </c>
      <c r="T72" t="n">
        <v>0</v>
      </c>
      <c r="U72" t="n">
        <v>0</v>
      </c>
      <c r="V72" s="2" t="inlineStr"/>
    </row>
    <row r="73" ht="15" customHeight="1">
      <c r="A73" t="inlineStr">
        <is>
          <t>A 14861-2026</t>
        </is>
      </c>
      <c r="B73" t="inlineStr">
        <is>
          <t>avverkningsanmälan</t>
        </is>
      </c>
      <c r="C73" t="inlineStr">
        <is>
          <t>Föryngringsavverkning</t>
        </is>
      </c>
      <c r="D73" s="1" t="n">
        <v>46104</v>
      </c>
      <c r="E73" s="1" t="n">
        <v>46283</v>
      </c>
      <c r="F73" t="inlineStr">
        <is>
          <t>NORRBOTTENS LÄN</t>
        </is>
      </c>
      <c r="G73" t="inlineStr">
        <is>
          <t>ARJEPLOG</t>
        </is>
      </c>
      <c r="H73" t="inlineStr">
        <is>
          <t>Sveaskog</t>
        </is>
      </c>
      <c r="I73" t="n">
        <v>31.7</v>
      </c>
      <c r="J73" t="n">
        <v>0</v>
      </c>
      <c r="K73" t="n">
        <v>0</v>
      </c>
      <c r="L73" t="n">
        <v>0</v>
      </c>
      <c r="M73" t="n">
        <v>0</v>
      </c>
      <c r="N73" t="n">
        <v>0</v>
      </c>
      <c r="O73" t="n">
        <v>0</v>
      </c>
      <c r="P73" t="n">
        <v>0</v>
      </c>
      <c r="Q73" t="n">
        <v>0</v>
      </c>
      <c r="R73" t="n">
        <v>0</v>
      </c>
      <c r="S73" t="n">
        <v>0</v>
      </c>
      <c r="T73" t="n">
        <v>0</v>
      </c>
      <c r="U73" t="n">
        <v>0</v>
      </c>
      <c r="V73" s="2" t="inlineStr"/>
    </row>
    <row r="74" ht="15" customHeight="1">
      <c r="A74" t="inlineStr">
        <is>
          <t>A 28354-2022</t>
        </is>
      </c>
      <c r="B74" t="inlineStr">
        <is>
          <t>avverkningsanmälan</t>
        </is>
      </c>
      <c r="C74" t="inlineStr">
        <is>
          <t>Avverkning för annat ändamål</t>
        </is>
      </c>
      <c r="D74" s="1" t="n">
        <v>44735</v>
      </c>
      <c r="E74" s="1" t="n">
        <v>46283</v>
      </c>
      <c r="F74" t="inlineStr">
        <is>
          <t>NORRBOTTENS LÄN</t>
        </is>
      </c>
      <c r="G74" t="inlineStr">
        <is>
          <t>ARJEPLOG</t>
        </is>
      </c>
      <c r="H74" t="inlineStr">
        <is>
          <t>Övriga statliga verk och myndigheter</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35627-2025</t>
        </is>
      </c>
      <c r="B75" t="inlineStr">
        <is>
          <t>avverkningsanmälan</t>
        </is>
      </c>
      <c r="C75" t="inlineStr">
        <is>
          <t>Föryngringsavverkning</t>
        </is>
      </c>
      <c r="D75" s="1" t="n">
        <v>45859</v>
      </c>
      <c r="E75" s="1" t="n">
        <v>46283</v>
      </c>
      <c r="F75" t="inlineStr">
        <is>
          <t>NORRBOTTENS LÄN</t>
        </is>
      </c>
      <c r="G75" t="inlineStr">
        <is>
          <t>ARJEPLOG</t>
        </is>
      </c>
      <c r="I75" t="n">
        <v>8</v>
      </c>
      <c r="J75" t="n">
        <v>0</v>
      </c>
      <c r="K75" t="n">
        <v>0</v>
      </c>
      <c r="L75" t="n">
        <v>0</v>
      </c>
      <c r="M75" t="n">
        <v>0</v>
      </c>
      <c r="N75" t="n">
        <v>0</v>
      </c>
      <c r="O75" t="n">
        <v>0</v>
      </c>
      <c r="P75" t="n">
        <v>0</v>
      </c>
      <c r="Q75" t="n">
        <v>0</v>
      </c>
      <c r="R75" t="n">
        <v>0</v>
      </c>
      <c r="S75" t="n">
        <v>0</v>
      </c>
      <c r="T75" t="n">
        <v>0</v>
      </c>
      <c r="U75" t="n">
        <v>0</v>
      </c>
      <c r="V75" s="2" t="inlineStr"/>
    </row>
    <row r="76" ht="15" customHeight="1">
      <c r="A76" t="inlineStr">
        <is>
          <t>A 42331-2025</t>
        </is>
      </c>
      <c r="B76" t="inlineStr">
        <is>
          <t>avverkningsanmälan</t>
        </is>
      </c>
      <c r="C76" t="inlineStr">
        <is>
          <t>Föryngringsavverkning</t>
        </is>
      </c>
      <c r="D76" s="1" t="n">
        <v>45903</v>
      </c>
      <c r="E76" s="1" t="n">
        <v>46283</v>
      </c>
      <c r="F76" t="inlineStr">
        <is>
          <t>NORRBOTTENS LÄN</t>
        </is>
      </c>
      <c r="G76" t="inlineStr">
        <is>
          <t>ARJEPLOG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42597-2025</t>
        </is>
      </c>
      <c r="B77" t="inlineStr">
        <is>
          <t>avverkningsanmälan</t>
        </is>
      </c>
      <c r="C77" t="inlineStr">
        <is>
          <t>Föryngringsavverkning</t>
        </is>
      </c>
      <c r="D77" s="1" t="n">
        <v>45905</v>
      </c>
      <c r="E77" s="1" t="n">
        <v>46283</v>
      </c>
      <c r="F77" t="inlineStr">
        <is>
          <t>NORRBOTTENS LÄN</t>
        </is>
      </c>
      <c r="G77" t="inlineStr">
        <is>
          <t>ARJEPLOG</t>
        </is>
      </c>
      <c r="I77" t="n">
        <v>9.199999999999999</v>
      </c>
      <c r="J77" t="n">
        <v>0</v>
      </c>
      <c r="K77" t="n">
        <v>0</v>
      </c>
      <c r="L77" t="n">
        <v>0</v>
      </c>
      <c r="M77" t="n">
        <v>0</v>
      </c>
      <c r="N77" t="n">
        <v>0</v>
      </c>
      <c r="O77" t="n">
        <v>0</v>
      </c>
      <c r="P77" t="n">
        <v>0</v>
      </c>
      <c r="Q77" t="n">
        <v>0</v>
      </c>
      <c r="R77" t="n">
        <v>0</v>
      </c>
      <c r="S77" t="n">
        <v>0</v>
      </c>
      <c r="T77" t="n">
        <v>0</v>
      </c>
      <c r="U77" t="n">
        <v>0</v>
      </c>
      <c r="V77" s="2" t="inlineStr"/>
    </row>
    <row r="78" ht="15" customHeight="1">
      <c r="A78" t="inlineStr">
        <is>
          <t>A 61729-2024</t>
        </is>
      </c>
      <c r="B78" t="inlineStr">
        <is>
          <t>avverkningsanmälan</t>
        </is>
      </c>
      <c r="C78" t="inlineStr">
        <is>
          <t>Avverkning för annat ändamål</t>
        </is>
      </c>
      <c r="D78" s="1" t="n">
        <v>45649</v>
      </c>
      <c r="E78" s="1" t="n">
        <v>46283</v>
      </c>
      <c r="F78" t="inlineStr">
        <is>
          <t>NORRBOTTENS LÄN</t>
        </is>
      </c>
      <c r="G78" t="inlineStr">
        <is>
          <t>ARJEPLOG</t>
        </is>
      </c>
      <c r="H78" t="inlineStr">
        <is>
          <t>Övriga statliga verk och myndigheter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42526-2025</t>
        </is>
      </c>
      <c r="B79" t="inlineStr">
        <is>
          <t>avverkningsanmälan</t>
        </is>
      </c>
      <c r="C79" t="inlineStr">
        <is>
          <t>Föryngringsavverkning</t>
        </is>
      </c>
      <c r="D79" s="1" t="n">
        <v>45905</v>
      </c>
      <c r="E79" s="1" t="n">
        <v>46283</v>
      </c>
      <c r="F79" t="inlineStr">
        <is>
          <t>NORRBOTTENS LÄN</t>
        </is>
      </c>
      <c r="G79" t="inlineStr">
        <is>
          <t>ARJEPLOG</t>
        </is>
      </c>
      <c r="I79" t="n">
        <v>12.5</v>
      </c>
      <c r="J79" t="n">
        <v>0</v>
      </c>
      <c r="K79" t="n">
        <v>0</v>
      </c>
      <c r="L79" t="n">
        <v>0</v>
      </c>
      <c r="M79" t="n">
        <v>0</v>
      </c>
      <c r="N79" t="n">
        <v>0</v>
      </c>
      <c r="O79" t="n">
        <v>0</v>
      </c>
      <c r="P79" t="n">
        <v>0</v>
      </c>
      <c r="Q79" t="n">
        <v>0</v>
      </c>
      <c r="R79" t="n">
        <v>0</v>
      </c>
      <c r="S79" t="n">
        <v>0</v>
      </c>
      <c r="T79" t="n">
        <v>0</v>
      </c>
      <c r="U79" t="n">
        <v>0</v>
      </c>
      <c r="V79" s="2" t="inlineStr"/>
    </row>
    <row r="80" ht="15" customHeight="1">
      <c r="A80" t="inlineStr">
        <is>
          <t>A 26486-2024</t>
        </is>
      </c>
      <c r="B80" t="inlineStr">
        <is>
          <t>avverkningsanmälan</t>
        </is>
      </c>
      <c r="C80" t="inlineStr">
        <is>
          <t>Föryngringsavverkning</t>
        </is>
      </c>
      <c r="D80" s="1" t="n">
        <v>45469</v>
      </c>
      <c r="E80" s="1" t="n">
        <v>46283</v>
      </c>
      <c r="F80" t="inlineStr">
        <is>
          <t>NORRBOTTENS LÄN</t>
        </is>
      </c>
      <c r="G80" t="inlineStr">
        <is>
          <t>ARJEPLOG</t>
        </is>
      </c>
      <c r="I80" t="n">
        <v>7.1</v>
      </c>
      <c r="J80" t="n">
        <v>0</v>
      </c>
      <c r="K80" t="n">
        <v>0</v>
      </c>
      <c r="L80" t="n">
        <v>0</v>
      </c>
      <c r="M80" t="n">
        <v>0</v>
      </c>
      <c r="N80" t="n">
        <v>0</v>
      </c>
      <c r="O80" t="n">
        <v>0</v>
      </c>
      <c r="P80" t="n">
        <v>0</v>
      </c>
      <c r="Q80" t="n">
        <v>0</v>
      </c>
      <c r="R80" t="n">
        <v>0</v>
      </c>
      <c r="S80" t="n">
        <v>0</v>
      </c>
      <c r="T80" t="n">
        <v>0</v>
      </c>
      <c r="U80" t="n">
        <v>0</v>
      </c>
      <c r="V80" s="2" t="inlineStr"/>
    </row>
    <row r="81" ht="15" customHeight="1">
      <c r="A81" t="inlineStr">
        <is>
          <t>A 20322-2026</t>
        </is>
      </c>
      <c r="B81" t="inlineStr">
        <is>
          <t>avverkningsanmälan</t>
        </is>
      </c>
      <c r="C81" t="inlineStr">
        <is>
          <t>Föryngringsavverkning</t>
        </is>
      </c>
      <c r="D81" s="1" t="n">
        <v>46139</v>
      </c>
      <c r="E81" s="1" t="n">
        <v>46283</v>
      </c>
      <c r="F81" t="inlineStr">
        <is>
          <t>NORRBOTTENS LÄN</t>
        </is>
      </c>
      <c r="G81" t="inlineStr">
        <is>
          <t>ARJEPLOG</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45072-2023</t>
        </is>
      </c>
      <c r="B82" t="inlineStr">
        <is>
          <t>avverkningsanmälan</t>
        </is>
      </c>
      <c r="C82" t="inlineStr">
        <is>
          <t>Föryngringsavverkning</t>
        </is>
      </c>
      <c r="D82" s="1" t="n">
        <v>45187</v>
      </c>
      <c r="E82" s="1" t="n">
        <v>46283</v>
      </c>
      <c r="F82" t="inlineStr">
        <is>
          <t>NORRBOTTENS LÄN</t>
        </is>
      </c>
      <c r="G82" t="inlineStr">
        <is>
          <t>ARJEPLOG</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20319-2026</t>
        </is>
      </c>
      <c r="B83" t="inlineStr">
        <is>
          <t>avverkningsanmälan</t>
        </is>
      </c>
      <c r="C83" t="inlineStr">
        <is>
          <t>Föryngringsavverkning</t>
        </is>
      </c>
      <c r="D83" s="1" t="n">
        <v>46139</v>
      </c>
      <c r="E83" s="1" t="n">
        <v>46283</v>
      </c>
      <c r="F83" t="inlineStr">
        <is>
          <t>NORRBOTTENS LÄN</t>
        </is>
      </c>
      <c r="G83" t="inlineStr">
        <is>
          <t>ARJEPLOG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20326-2026</t>
        </is>
      </c>
      <c r="B84" t="inlineStr">
        <is>
          <t>avverkningsanmälan</t>
        </is>
      </c>
      <c r="C84" t="inlineStr">
        <is>
          <t>Föryngringsavverkning</t>
        </is>
      </c>
      <c r="D84" s="1" t="n">
        <v>46139</v>
      </c>
      <c r="E84" s="1" t="n">
        <v>46283</v>
      </c>
      <c r="F84" t="inlineStr">
        <is>
          <t>NORRBOTTENS LÄN</t>
        </is>
      </c>
      <c r="G84" t="inlineStr">
        <is>
          <t>ARJEPLOG</t>
        </is>
      </c>
      <c r="I84" t="n">
        <v>3.1</v>
      </c>
      <c r="J84" t="n">
        <v>0</v>
      </c>
      <c r="K84" t="n">
        <v>0</v>
      </c>
      <c r="L84" t="n">
        <v>0</v>
      </c>
      <c r="M84" t="n">
        <v>0</v>
      </c>
      <c r="N84" t="n">
        <v>0</v>
      </c>
      <c r="O84" t="n">
        <v>0</v>
      </c>
      <c r="P84" t="n">
        <v>0</v>
      </c>
      <c r="Q84" t="n">
        <v>0</v>
      </c>
      <c r="R84" t="n">
        <v>0</v>
      </c>
      <c r="S84" t="n">
        <v>0</v>
      </c>
      <c r="T84" t="n">
        <v>0</v>
      </c>
      <c r="U84" t="n">
        <v>0</v>
      </c>
      <c r="V84" s="2" t="inlineStr"/>
    </row>
    <row r="85" ht="15" customHeight="1">
      <c r="A85" t="inlineStr">
        <is>
          <t>A 26472-2024</t>
        </is>
      </c>
      <c r="B85" t="inlineStr">
        <is>
          <t>avverkningsanmälan</t>
        </is>
      </c>
      <c r="C85" t="inlineStr">
        <is>
          <t>Föryngringsavverkning</t>
        </is>
      </c>
      <c r="D85" s="1" t="n">
        <v>45469</v>
      </c>
      <c r="E85" s="1" t="n">
        <v>46283</v>
      </c>
      <c r="F85" t="inlineStr">
        <is>
          <t>NORRBOTTENS LÄN</t>
        </is>
      </c>
      <c r="G85" t="inlineStr">
        <is>
          <t>ARJEPLOG</t>
        </is>
      </c>
      <c r="I85" t="n">
        <v>8.199999999999999</v>
      </c>
      <c r="J85" t="n">
        <v>0</v>
      </c>
      <c r="K85" t="n">
        <v>0</v>
      </c>
      <c r="L85" t="n">
        <v>0</v>
      </c>
      <c r="M85" t="n">
        <v>0</v>
      </c>
      <c r="N85" t="n">
        <v>0</v>
      </c>
      <c r="O85" t="n">
        <v>0</v>
      </c>
      <c r="P85" t="n">
        <v>0</v>
      </c>
      <c r="Q85" t="n">
        <v>0</v>
      </c>
      <c r="R85" t="n">
        <v>0</v>
      </c>
      <c r="S85" t="n">
        <v>0</v>
      </c>
      <c r="T85" t="n">
        <v>0</v>
      </c>
      <c r="U85" t="n">
        <v>0</v>
      </c>
      <c r="V85" s="2" t="inlineStr"/>
    </row>
    <row r="86" ht="15" customHeight="1">
      <c r="A86" t="inlineStr">
        <is>
          <t>A 50255-2023</t>
        </is>
      </c>
      <c r="B86" t="inlineStr">
        <is>
          <t>avverkningsanmälan</t>
        </is>
      </c>
      <c r="C86" t="inlineStr">
        <is>
          <t>Föryngringsavverkning</t>
        </is>
      </c>
      <c r="D86" s="1" t="n">
        <v>45216</v>
      </c>
      <c r="E86" s="1" t="n">
        <v>46283</v>
      </c>
      <c r="F86" t="inlineStr">
        <is>
          <t>NORRBOTTENS LÄN</t>
        </is>
      </c>
      <c r="G86" t="inlineStr">
        <is>
          <t>ARJEPLOG</t>
        </is>
      </c>
      <c r="I86" t="n">
        <v>20</v>
      </c>
      <c r="J86" t="n">
        <v>0</v>
      </c>
      <c r="K86" t="n">
        <v>0</v>
      </c>
      <c r="L86" t="n">
        <v>0</v>
      </c>
      <c r="M86" t="n">
        <v>0</v>
      </c>
      <c r="N86" t="n">
        <v>0</v>
      </c>
      <c r="O86" t="n">
        <v>0</v>
      </c>
      <c r="P86" t="n">
        <v>0</v>
      </c>
      <c r="Q86" t="n">
        <v>0</v>
      </c>
      <c r="R86" t="n">
        <v>0</v>
      </c>
      <c r="S86" t="n">
        <v>0</v>
      </c>
      <c r="T86" t="n">
        <v>0</v>
      </c>
      <c r="U86" t="n">
        <v>0</v>
      </c>
      <c r="V86" s="2" t="inlineStr"/>
    </row>
    <row r="87" ht="15" customHeight="1">
      <c r="A87" t="inlineStr">
        <is>
          <t>A 52581-2022</t>
        </is>
      </c>
      <c r="B87" t="inlineStr">
        <is>
          <t>avverkningsanmälan</t>
        </is>
      </c>
      <c r="C87" t="inlineStr">
        <is>
          <t>Föryngringsavverkning</t>
        </is>
      </c>
      <c r="D87" s="1" t="n">
        <v>44874</v>
      </c>
      <c r="E87" s="1" t="n">
        <v>46283</v>
      </c>
      <c r="F87" t="inlineStr">
        <is>
          <t>NORRBOTTENS LÄN</t>
        </is>
      </c>
      <c r="G87" t="inlineStr">
        <is>
          <t>ARJEPLOG</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46747-2025</t>
        </is>
      </c>
      <c r="B88" t="inlineStr">
        <is>
          <t>avverkningsanmälan</t>
        </is>
      </c>
      <c r="C88" t="inlineStr">
        <is>
          <t>Föryngringsavverkning</t>
        </is>
      </c>
      <c r="D88" s="1" t="n">
        <v>45926</v>
      </c>
      <c r="E88" s="1" t="n">
        <v>46283</v>
      </c>
      <c r="F88" t="inlineStr">
        <is>
          <t>NORRBOTTENS LÄN</t>
        </is>
      </c>
      <c r="G88" t="inlineStr">
        <is>
          <t>ARJEPLOG</t>
        </is>
      </c>
      <c r="I88" t="n">
        <v>19.7</v>
      </c>
      <c r="J88" t="n">
        <v>0</v>
      </c>
      <c r="K88" t="n">
        <v>0</v>
      </c>
      <c r="L88" t="n">
        <v>0</v>
      </c>
      <c r="M88" t="n">
        <v>0</v>
      </c>
      <c r="N88" t="n">
        <v>0</v>
      </c>
      <c r="O88" t="n">
        <v>0</v>
      </c>
      <c r="P88" t="n">
        <v>0</v>
      </c>
      <c r="Q88" t="n">
        <v>0</v>
      </c>
      <c r="R88" t="n">
        <v>0</v>
      </c>
      <c r="S88" t="n">
        <v>0</v>
      </c>
      <c r="T88" t="n">
        <v>0</v>
      </c>
      <c r="U88" t="n">
        <v>0</v>
      </c>
      <c r="V88" s="2" t="inlineStr"/>
    </row>
    <row r="89" ht="15" customHeight="1">
      <c r="A89" t="inlineStr">
        <is>
          <t>A 54589-2021</t>
        </is>
      </c>
      <c r="B89" t="inlineStr">
        <is>
          <t>avverkningsanmälan</t>
        </is>
      </c>
      <c r="C89" t="inlineStr">
        <is>
          <t>Föryngringsavverkning</t>
        </is>
      </c>
      <c r="D89" s="1" t="n">
        <v>44473</v>
      </c>
      <c r="E89" s="1" t="n">
        <v>46283</v>
      </c>
      <c r="F89" t="inlineStr">
        <is>
          <t>NORRBOTTENS LÄN</t>
        </is>
      </c>
      <c r="G89" t="inlineStr">
        <is>
          <t>ARJEPLOG</t>
        </is>
      </c>
      <c r="I89" t="n">
        <v>4.8</v>
      </c>
      <c r="J89" t="n">
        <v>0</v>
      </c>
      <c r="K89" t="n">
        <v>0</v>
      </c>
      <c r="L89" t="n">
        <v>0</v>
      </c>
      <c r="M89" t="n">
        <v>0</v>
      </c>
      <c r="N89" t="n">
        <v>0</v>
      </c>
      <c r="O89" t="n">
        <v>0</v>
      </c>
      <c r="P89" t="n">
        <v>0</v>
      </c>
      <c r="Q89" t="n">
        <v>0</v>
      </c>
      <c r="R89" t="n">
        <v>0</v>
      </c>
      <c r="S89" t="n">
        <v>0</v>
      </c>
      <c r="T89" t="n">
        <v>0</v>
      </c>
      <c r="U89" t="n">
        <v>0</v>
      </c>
      <c r="V89" s="2" t="inlineStr"/>
    </row>
    <row r="90" ht="15" customHeight="1">
      <c r="A90" t="inlineStr">
        <is>
          <t>A 27092-2022</t>
        </is>
      </c>
      <c r="B90" t="inlineStr">
        <is>
          <t>avverkningsanmälan</t>
        </is>
      </c>
      <c r="C90" t="inlineStr">
        <is>
          <t>Föryngringsavverkning</t>
        </is>
      </c>
      <c r="D90" s="1" t="n">
        <v>44741</v>
      </c>
      <c r="E90" s="1" t="n">
        <v>46283</v>
      </c>
      <c r="F90" t="inlineStr">
        <is>
          <t>NORRBOTTENS LÄN</t>
        </is>
      </c>
      <c r="G90" t="inlineStr">
        <is>
          <t>ARJEPLOG</t>
        </is>
      </c>
      <c r="I90" t="n">
        <v>15.6</v>
      </c>
      <c r="J90" t="n">
        <v>0</v>
      </c>
      <c r="K90" t="n">
        <v>0</v>
      </c>
      <c r="L90" t="n">
        <v>0</v>
      </c>
      <c r="M90" t="n">
        <v>0</v>
      </c>
      <c r="N90" t="n">
        <v>0</v>
      </c>
      <c r="O90" t="n">
        <v>0</v>
      </c>
      <c r="P90" t="n">
        <v>0</v>
      </c>
      <c r="Q90" t="n">
        <v>0</v>
      </c>
      <c r="R90" t="n">
        <v>0</v>
      </c>
      <c r="S90" t="n">
        <v>0</v>
      </c>
      <c r="T90" t="n">
        <v>0</v>
      </c>
      <c r="U90" t="n">
        <v>0</v>
      </c>
      <c r="V90" s="2" t="inlineStr"/>
    </row>
    <row r="91" ht="15" customHeight="1">
      <c r="A91" t="inlineStr">
        <is>
          <t>A 48987-2025</t>
        </is>
      </c>
      <c r="B91" t="inlineStr">
        <is>
          <t>avverkningsanmälan</t>
        </is>
      </c>
      <c r="C91" t="inlineStr">
        <is>
          <t>Avverkning för annat ändamål</t>
        </is>
      </c>
      <c r="D91" s="1" t="n">
        <v>45937</v>
      </c>
      <c r="E91" s="1" t="n">
        <v>46283</v>
      </c>
      <c r="F91" t="inlineStr">
        <is>
          <t>NORRBOTTENS LÄN</t>
        </is>
      </c>
      <c r="G91" t="inlineStr">
        <is>
          <t>ARJEPLOG</t>
        </is>
      </c>
      <c r="H91" t="inlineStr">
        <is>
          <t>Sveaskog</t>
        </is>
      </c>
      <c r="I91" t="n">
        <v>6.5</v>
      </c>
      <c r="J91" t="n">
        <v>0</v>
      </c>
      <c r="K91" t="n">
        <v>0</v>
      </c>
      <c r="L91" t="n">
        <v>0</v>
      </c>
      <c r="M91" t="n">
        <v>0</v>
      </c>
      <c r="N91" t="n">
        <v>0</v>
      </c>
      <c r="O91" t="n">
        <v>0</v>
      </c>
      <c r="P91" t="n">
        <v>0</v>
      </c>
      <c r="Q91" t="n">
        <v>0</v>
      </c>
      <c r="R91" t="n">
        <v>0</v>
      </c>
      <c r="S91" t="n">
        <v>0</v>
      </c>
      <c r="T91" t="n">
        <v>0</v>
      </c>
      <c r="U91" t="n">
        <v>0</v>
      </c>
      <c r="V91" s="2" t="inlineStr"/>
    </row>
    <row r="92" ht="15" customHeight="1">
      <c r="A92" t="inlineStr">
        <is>
          <t>A 23335-2026</t>
        </is>
      </c>
      <c r="B92" t="inlineStr">
        <is>
          <t>avverkningsanmälan</t>
        </is>
      </c>
      <c r="C92" t="inlineStr">
        <is>
          <t>Föryngringsavverkning</t>
        </is>
      </c>
      <c r="D92" s="1" t="n">
        <v>46162</v>
      </c>
      <c r="E92" s="1" t="n">
        <v>46283</v>
      </c>
      <c r="F92" t="inlineStr">
        <is>
          <t>NORRBOTTENS LÄN</t>
        </is>
      </c>
      <c r="G92" t="inlineStr">
        <is>
          <t>ARJEPLOG</t>
        </is>
      </c>
      <c r="I92" t="n">
        <v>7.7</v>
      </c>
      <c r="J92" t="n">
        <v>0</v>
      </c>
      <c r="K92" t="n">
        <v>0</v>
      </c>
      <c r="L92" t="n">
        <v>0</v>
      </c>
      <c r="M92" t="n">
        <v>0</v>
      </c>
      <c r="N92" t="n">
        <v>0</v>
      </c>
      <c r="O92" t="n">
        <v>0</v>
      </c>
      <c r="P92" t="n">
        <v>0</v>
      </c>
      <c r="Q92" t="n">
        <v>0</v>
      </c>
      <c r="R92" t="n">
        <v>0</v>
      </c>
      <c r="S92" t="n">
        <v>0</v>
      </c>
      <c r="T92" t="n">
        <v>0</v>
      </c>
      <c r="U92" t="n">
        <v>0</v>
      </c>
      <c r="V92" s="2" t="inlineStr"/>
    </row>
    <row r="93" ht="15" customHeight="1">
      <c r="A93" t="inlineStr">
        <is>
          <t>A 29674-2025</t>
        </is>
      </c>
      <c r="B93" t="inlineStr">
        <is>
          <t>avverkningsanmälan</t>
        </is>
      </c>
      <c r="C93" t="inlineStr">
        <is>
          <t>Föryngringsavverkning</t>
        </is>
      </c>
      <c r="D93" s="1" t="n">
        <v>45825</v>
      </c>
      <c r="E93" s="1" t="n">
        <v>46283</v>
      </c>
      <c r="F93" t="inlineStr">
        <is>
          <t>NORRBOTTENS LÄN</t>
        </is>
      </c>
      <c r="G93" t="inlineStr">
        <is>
          <t>ARJEPLOG</t>
        </is>
      </c>
      <c r="H93" t="inlineStr">
        <is>
          <t>Allmännings- och besparingsskogar</t>
        </is>
      </c>
      <c r="I93" t="n">
        <v>25.1</v>
      </c>
      <c r="J93" t="n">
        <v>0</v>
      </c>
      <c r="K93" t="n">
        <v>0</v>
      </c>
      <c r="L93" t="n">
        <v>0</v>
      </c>
      <c r="M93" t="n">
        <v>0</v>
      </c>
      <c r="N93" t="n">
        <v>0</v>
      </c>
      <c r="O93" t="n">
        <v>0</v>
      </c>
      <c r="P93" t="n">
        <v>0</v>
      </c>
      <c r="Q93" t="n">
        <v>0</v>
      </c>
      <c r="R93" t="n">
        <v>0</v>
      </c>
      <c r="S93" t="n">
        <v>0</v>
      </c>
      <c r="T93" t="n">
        <v>0</v>
      </c>
      <c r="U93" t="n">
        <v>0</v>
      </c>
      <c r="V93" s="2" t="inlineStr"/>
    </row>
    <row r="94" ht="15" customHeight="1">
      <c r="A94" t="inlineStr">
        <is>
          <t>A 23330-2026</t>
        </is>
      </c>
      <c r="B94" t="inlineStr">
        <is>
          <t>avverkningsanmälan</t>
        </is>
      </c>
      <c r="C94" t="inlineStr">
        <is>
          <t>Föryngringsavverkning</t>
        </is>
      </c>
      <c r="D94" s="1" t="n">
        <v>46162</v>
      </c>
      <c r="E94" s="1" t="n">
        <v>46283</v>
      </c>
      <c r="F94" t="inlineStr">
        <is>
          <t>NORRBOTTENS LÄN</t>
        </is>
      </c>
      <c r="G94" t="inlineStr">
        <is>
          <t>ARJEPLOG</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3006-2024</t>
        </is>
      </c>
      <c r="B95" t="inlineStr">
        <is>
          <t>avverkningsanmälan</t>
        </is>
      </c>
      <c r="C95" t="inlineStr">
        <is>
          <t>Föryngringsavverkning</t>
        </is>
      </c>
      <c r="D95" s="1" t="n">
        <v>45315</v>
      </c>
      <c r="E95" s="1" t="n">
        <v>46283</v>
      </c>
      <c r="F95" t="inlineStr">
        <is>
          <t>NORRBOTTENS LÄN</t>
        </is>
      </c>
      <c r="G95" t="inlineStr">
        <is>
          <t>ARJEPLOG</t>
        </is>
      </c>
      <c r="I95" t="n">
        <v>9.1</v>
      </c>
      <c r="J95" t="n">
        <v>0</v>
      </c>
      <c r="K95" t="n">
        <v>0</v>
      </c>
      <c r="L95" t="n">
        <v>0</v>
      </c>
      <c r="M95" t="n">
        <v>0</v>
      </c>
      <c r="N95" t="n">
        <v>0</v>
      </c>
      <c r="O95" t="n">
        <v>0</v>
      </c>
      <c r="P95" t="n">
        <v>0</v>
      </c>
      <c r="Q95" t="n">
        <v>0</v>
      </c>
      <c r="R95" t="n">
        <v>0</v>
      </c>
      <c r="S95" t="n">
        <v>0</v>
      </c>
      <c r="T95" t="n">
        <v>0</v>
      </c>
      <c r="U95" t="n">
        <v>0</v>
      </c>
      <c r="V95" s="2" t="inlineStr"/>
    </row>
    <row r="96" ht="15" customHeight="1">
      <c r="A96" t="inlineStr">
        <is>
          <t>A 25440-2024</t>
        </is>
      </c>
      <c r="B96" t="inlineStr">
        <is>
          <t>avverkningsanmälan</t>
        </is>
      </c>
      <c r="C96" t="inlineStr">
        <is>
          <t>Föryngringsavverkning</t>
        </is>
      </c>
      <c r="D96" s="1" t="n">
        <v>45463</v>
      </c>
      <c r="E96" s="1" t="n">
        <v>46283</v>
      </c>
      <c r="F96" t="inlineStr">
        <is>
          <t>NORRBOTTENS LÄN</t>
        </is>
      </c>
      <c r="G96" t="inlineStr">
        <is>
          <t>ARJEPLOG</t>
        </is>
      </c>
      <c r="H96" t="inlineStr">
        <is>
          <t>Allmännings- och besparingsskogar</t>
        </is>
      </c>
      <c r="I96" t="n">
        <v>30.7</v>
      </c>
      <c r="J96" t="n">
        <v>0</v>
      </c>
      <c r="K96" t="n">
        <v>0</v>
      </c>
      <c r="L96" t="n">
        <v>0</v>
      </c>
      <c r="M96" t="n">
        <v>0</v>
      </c>
      <c r="N96" t="n">
        <v>0</v>
      </c>
      <c r="O96" t="n">
        <v>0</v>
      </c>
      <c r="P96" t="n">
        <v>0</v>
      </c>
      <c r="Q96" t="n">
        <v>0</v>
      </c>
      <c r="R96" t="n">
        <v>0</v>
      </c>
      <c r="S96" t="n">
        <v>0</v>
      </c>
      <c r="T96" t="n">
        <v>0</v>
      </c>
      <c r="U96" t="n">
        <v>0</v>
      </c>
      <c r="V96" s="2" t="inlineStr"/>
    </row>
    <row r="97" ht="15" customHeight="1">
      <c r="A97" t="inlineStr">
        <is>
          <t>A 26479-2024</t>
        </is>
      </c>
      <c r="B97" t="inlineStr">
        <is>
          <t>avverkningsanmälan</t>
        </is>
      </c>
      <c r="C97" t="inlineStr">
        <is>
          <t>Föryngringsavverkning</t>
        </is>
      </c>
      <c r="D97" s="1" t="n">
        <v>45468</v>
      </c>
      <c r="E97" s="1" t="n">
        <v>46283</v>
      </c>
      <c r="F97" t="inlineStr">
        <is>
          <t>NORRBOTTENS LÄN</t>
        </is>
      </c>
      <c r="G97" t="inlineStr">
        <is>
          <t>ARJEPLOG</t>
        </is>
      </c>
      <c r="I97" t="n">
        <v>6.9</v>
      </c>
      <c r="J97" t="n">
        <v>0</v>
      </c>
      <c r="K97" t="n">
        <v>0</v>
      </c>
      <c r="L97" t="n">
        <v>0</v>
      </c>
      <c r="M97" t="n">
        <v>0</v>
      </c>
      <c r="N97" t="n">
        <v>0</v>
      </c>
      <c r="O97" t="n">
        <v>0</v>
      </c>
      <c r="P97" t="n">
        <v>0</v>
      </c>
      <c r="Q97" t="n">
        <v>0</v>
      </c>
      <c r="R97" t="n">
        <v>0</v>
      </c>
      <c r="S97" t="n">
        <v>0</v>
      </c>
      <c r="T97" t="n">
        <v>0</v>
      </c>
      <c r="U97" t="n">
        <v>0</v>
      </c>
      <c r="V97" s="2" t="inlineStr"/>
    </row>
    <row r="98" ht="15" customHeight="1">
      <c r="A98" t="inlineStr">
        <is>
          <t>A 53822-2024</t>
        </is>
      </c>
      <c r="B98" t="inlineStr">
        <is>
          <t>avverkningsanmälan</t>
        </is>
      </c>
      <c r="C98" t="inlineStr">
        <is>
          <t>Föryngringsavverkning</t>
        </is>
      </c>
      <c r="D98" s="1" t="n">
        <v>45614</v>
      </c>
      <c r="E98" s="1" t="n">
        <v>46283</v>
      </c>
      <c r="F98" t="inlineStr">
        <is>
          <t>NORRBOTTENS LÄN</t>
        </is>
      </c>
      <c r="G98" t="inlineStr">
        <is>
          <t>ARJEPLOG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26048-2026</t>
        </is>
      </c>
      <c r="B99" t="inlineStr">
        <is>
          <t>avverkningsanmälan</t>
        </is>
      </c>
      <c r="C99" t="inlineStr">
        <is>
          <t>Föryngringsavverkning</t>
        </is>
      </c>
      <c r="D99" s="1" t="n">
        <v>46181</v>
      </c>
      <c r="E99" s="1" t="n">
        <v>46283</v>
      </c>
      <c r="F99" t="inlineStr">
        <is>
          <t>NORRBOTTENS LÄN</t>
        </is>
      </c>
      <c r="G99" t="inlineStr">
        <is>
          <t>ARJEPLOG</t>
        </is>
      </c>
      <c r="I99" t="n">
        <v>16.9</v>
      </c>
      <c r="J99" t="n">
        <v>0</v>
      </c>
      <c r="K99" t="n">
        <v>0</v>
      </c>
      <c r="L99" t="n">
        <v>0</v>
      </c>
      <c r="M99" t="n">
        <v>0</v>
      </c>
      <c r="N99" t="n">
        <v>0</v>
      </c>
      <c r="O99" t="n">
        <v>0</v>
      </c>
      <c r="P99" t="n">
        <v>0</v>
      </c>
      <c r="Q99" t="n">
        <v>0</v>
      </c>
      <c r="R99" t="n">
        <v>0</v>
      </c>
      <c r="S99" t="n">
        <v>0</v>
      </c>
      <c r="T99" t="n">
        <v>0</v>
      </c>
      <c r="U99" t="n">
        <v>0</v>
      </c>
      <c r="V99" s="2" t="inlineStr"/>
    </row>
    <row r="100" ht="15" customHeight="1">
      <c r="A100" t="inlineStr">
        <is>
          <t>A 27102-2026</t>
        </is>
      </c>
      <c r="B100" t="inlineStr">
        <is>
          <t>avverkningsanmälan</t>
        </is>
      </c>
      <c r="C100" t="inlineStr">
        <is>
          <t>Avverkning för annat ändamål</t>
        </is>
      </c>
      <c r="D100" s="1" t="n">
        <v>46188</v>
      </c>
      <c r="E100" s="1" t="n">
        <v>46283</v>
      </c>
      <c r="F100" t="inlineStr">
        <is>
          <t>NORRBOTTENS LÄN</t>
        </is>
      </c>
      <c r="G100" t="inlineStr">
        <is>
          <t>ARJEPLOG</t>
        </is>
      </c>
      <c r="H100" t="inlineStr">
        <is>
          <t>Sveaskog</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56754-2024</t>
        </is>
      </c>
      <c r="B101" t="inlineStr">
        <is>
          <t>avverkningsanmälan</t>
        </is>
      </c>
      <c r="C101" t="inlineStr">
        <is>
          <t>Föryngringsavverkning</t>
        </is>
      </c>
      <c r="D101" s="1" t="n">
        <v>45625</v>
      </c>
      <c r="E101" s="1" t="n">
        <v>46283</v>
      </c>
      <c r="F101" t="inlineStr">
        <is>
          <t>NORRBOTTENS LÄN</t>
        </is>
      </c>
      <c r="G101" t="inlineStr">
        <is>
          <t>ARJEPLOG</t>
        </is>
      </c>
      <c r="I101" t="n">
        <v>11.5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56800-2024</t>
        </is>
      </c>
      <c r="B102" t="inlineStr">
        <is>
          <t>avverkningsanmälan</t>
        </is>
      </c>
      <c r="C102" t="inlineStr">
        <is>
          <t>Föryngringsavverkning</t>
        </is>
      </c>
      <c r="D102" s="1" t="n">
        <v>45625</v>
      </c>
      <c r="E102" s="1" t="n">
        <v>46283</v>
      </c>
      <c r="F102" t="inlineStr">
        <is>
          <t>NORRBOTTENS LÄN</t>
        </is>
      </c>
      <c r="G102" t="inlineStr">
        <is>
          <t>ARJEPLOG</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28560-2026</t>
        </is>
      </c>
      <c r="B103" t="inlineStr">
        <is>
          <t>avverkningsanmälan</t>
        </is>
      </c>
      <c r="C103" t="inlineStr">
        <is>
          <t>Föryngringsavverkning</t>
        </is>
      </c>
      <c r="D103" s="1" t="n">
        <v>46197</v>
      </c>
      <c r="E103" s="1" t="n">
        <v>46283</v>
      </c>
      <c r="F103" t="inlineStr">
        <is>
          <t>NORRBOTTENS LÄN</t>
        </is>
      </c>
      <c r="G103" t="inlineStr">
        <is>
          <t>ARJEPLOG</t>
        </is>
      </c>
      <c r="H103" t="inlineStr">
        <is>
          <t>Allmännings- och besparingsskogar</t>
        </is>
      </c>
      <c r="I103" t="n">
        <v>14.2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34426-2025</t>
        </is>
      </c>
      <c r="B104" t="inlineStr">
        <is>
          <t>avverkningsanmälan</t>
        </is>
      </c>
      <c r="C104" t="inlineStr">
        <is>
          <t>Föryngringsavverkning</t>
        </is>
      </c>
      <c r="D104" s="1" t="n">
        <v>45845</v>
      </c>
      <c r="E104" s="1" t="n">
        <v>46283</v>
      </c>
      <c r="F104" t="inlineStr">
        <is>
          <t>NORRBOTTENS LÄN</t>
        </is>
      </c>
      <c r="G104" t="inlineStr">
        <is>
          <t>ARJEPLOG</t>
        </is>
      </c>
      <c r="I104" t="n">
        <v>4.3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56782-2024</t>
        </is>
      </c>
      <c r="B105" t="inlineStr">
        <is>
          <t>avverkningsanmälan</t>
        </is>
      </c>
      <c r="C105" t="inlineStr">
        <is>
          <t>Föryngringsavverkning</t>
        </is>
      </c>
      <c r="D105" s="1" t="n">
        <v>45625</v>
      </c>
      <c r="E105" s="1" t="n">
        <v>46283</v>
      </c>
      <c r="F105" t="inlineStr">
        <is>
          <t>NORRBOTTENS LÄN</t>
        </is>
      </c>
      <c r="G105" t="inlineStr">
        <is>
          <t>ARJEPLOG</t>
        </is>
      </c>
      <c r="I105" t="n">
        <v>4.3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56794-2024</t>
        </is>
      </c>
      <c r="B106" t="inlineStr">
        <is>
          <t>avverkningsanmälan</t>
        </is>
      </c>
      <c r="C106" t="inlineStr">
        <is>
          <t>Föryngringsavverkning</t>
        </is>
      </c>
      <c r="D106" s="1" t="n">
        <v>45625</v>
      </c>
      <c r="E106" s="1" t="n">
        <v>46283</v>
      </c>
      <c r="F106" t="inlineStr">
        <is>
          <t>NORRBOTTENS LÄN</t>
        </is>
      </c>
      <c r="G106" t="inlineStr">
        <is>
          <t>ARJEPLOG</t>
        </is>
      </c>
      <c r="I106" t="n">
        <v>7.5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28799-2026</t>
        </is>
      </c>
      <c r="B107" t="inlineStr">
        <is>
          <t>avverkningsanmälan</t>
        </is>
      </c>
      <c r="C107" t="inlineStr">
        <is>
          <t>Föryngringsavverkning</t>
        </is>
      </c>
      <c r="D107" s="1" t="n">
        <v>46198</v>
      </c>
      <c r="E107" s="1" t="n">
        <v>46283</v>
      </c>
      <c r="F107" t="inlineStr">
        <is>
          <t>NORRBOTTENS LÄN</t>
        </is>
      </c>
      <c r="G107" t="inlineStr">
        <is>
          <t>ARJEPLOG</t>
        </is>
      </c>
      <c r="H107" t="inlineStr">
        <is>
          <t>Allmännings- och besparingsskogar</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28804-2026</t>
        </is>
      </c>
      <c r="B108" t="inlineStr">
        <is>
          <t>avverkningsanmälan</t>
        </is>
      </c>
      <c r="C108" t="inlineStr">
        <is>
          <t>Föryngringsavverkning</t>
        </is>
      </c>
      <c r="D108" s="1" t="n">
        <v>46198</v>
      </c>
      <c r="E108" s="1" t="n">
        <v>46283</v>
      </c>
      <c r="F108" t="inlineStr">
        <is>
          <t>NORRBOTTENS LÄN</t>
        </is>
      </c>
      <c r="G108" t="inlineStr">
        <is>
          <t>ARJEPLOG</t>
        </is>
      </c>
      <c r="H108" t="inlineStr">
        <is>
          <t>Allmännings- och besparingsskogar</t>
        </is>
      </c>
      <c r="I108" t="n">
        <v>11.5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17536-2023</t>
        </is>
      </c>
      <c r="B109" t="inlineStr">
        <is>
          <t>avverkningsanmälan</t>
        </is>
      </c>
      <c r="C109" t="inlineStr">
        <is>
          <t>Föryngringsavverkning</t>
        </is>
      </c>
      <c r="D109" s="1" t="n">
        <v>45034</v>
      </c>
      <c r="E109" s="1" t="n">
        <v>46283</v>
      </c>
      <c r="F109" t="inlineStr">
        <is>
          <t>NORRBOTTENS LÄN</t>
        </is>
      </c>
      <c r="G109" t="inlineStr">
        <is>
          <t>ARJEPLOG</t>
        </is>
      </c>
      <c r="H109" t="inlineStr">
        <is>
          <t>Övriga statliga verk och myndigheter</t>
        </is>
      </c>
      <c r="I109" t="n">
        <v>20.3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12409-2025</t>
        </is>
      </c>
      <c r="B110" t="inlineStr">
        <is>
          <t>avverkningsanmälan</t>
        </is>
      </c>
      <c r="C110" t="inlineStr">
        <is>
          <t>Föryngringsavverkning</t>
        </is>
      </c>
      <c r="D110" s="1" t="n">
        <v>45730</v>
      </c>
      <c r="E110" s="1" t="n">
        <v>46283</v>
      </c>
      <c r="F110" t="inlineStr">
        <is>
          <t>NORRBOTTENS LÄN</t>
        </is>
      </c>
      <c r="G110" t="inlineStr">
        <is>
          <t>ARJEPLOG</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33993-2026</t>
        </is>
      </c>
      <c r="B111" t="inlineStr">
        <is>
          <t>avverkningsanmälan</t>
        </is>
      </c>
      <c r="C111" t="inlineStr">
        <is>
          <t>Avverkning för annat ändamål</t>
        </is>
      </c>
      <c r="D111" s="1" t="n">
        <v>46252</v>
      </c>
      <c r="E111" s="1" t="n">
        <v>46283</v>
      </c>
      <c r="F111" t="inlineStr">
        <is>
          <t>NORRBOTTENS LÄN</t>
        </is>
      </c>
      <c r="G111" t="inlineStr">
        <is>
          <t>ARJEPLOG</t>
        </is>
      </c>
      <c r="H111" t="inlineStr">
        <is>
          <t>Sveaskog</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26811-2022</t>
        </is>
      </c>
      <c r="B112" t="inlineStr">
        <is>
          <t>avverkningsanmälan</t>
        </is>
      </c>
      <c r="C112" t="inlineStr">
        <is>
          <t>Avverkning för annat ändamål</t>
        </is>
      </c>
      <c r="D112" s="1" t="n">
        <v>44735</v>
      </c>
      <c r="E112" s="1" t="n">
        <v>46283</v>
      </c>
      <c r="F112" t="inlineStr">
        <is>
          <t>NORRBOTTENS LÄN</t>
        </is>
      </c>
      <c r="G112" t="inlineStr">
        <is>
          <t>ARJEPLOG</t>
        </is>
      </c>
      <c r="H112" t="inlineStr">
        <is>
          <t>Övriga statliga verk och myndigheter</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59887-2025</t>
        </is>
      </c>
      <c r="B113" t="inlineStr">
        <is>
          <t>avverkningsanmälan</t>
        </is>
      </c>
      <c r="C113" t="inlineStr">
        <is>
          <t>Föryngringsavverkning</t>
        </is>
      </c>
      <c r="D113" s="1" t="n">
        <v>45993</v>
      </c>
      <c r="E113" s="1" t="n">
        <v>46283</v>
      </c>
      <c r="F113" t="inlineStr">
        <is>
          <t>NORRBOTTENS LÄN</t>
        </is>
      </c>
      <c r="G113" t="inlineStr">
        <is>
          <t>ARJEPLOG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27836-2026</t>
        </is>
      </c>
      <c r="B114" t="inlineStr">
        <is>
          <t>avverkningsanmälan</t>
        </is>
      </c>
      <c r="C114" t="inlineStr">
        <is>
          <t>Avverkning för annat ändamål</t>
        </is>
      </c>
      <c r="D114" s="1" t="n">
        <v>46189</v>
      </c>
      <c r="E114" s="1" t="n">
        <v>46283</v>
      </c>
      <c r="F114" t="inlineStr">
        <is>
          <t>NORRBOTTENS LÄN</t>
        </is>
      </c>
      <c r="G114" t="inlineStr">
        <is>
          <t>ARJEPLOG</t>
        </is>
      </c>
      <c r="H114" t="inlineStr">
        <is>
          <t>Sveaskog</t>
        </is>
      </c>
      <c r="I114" t="n">
        <v>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44218-2023</t>
        </is>
      </c>
      <c r="B115" t="inlineStr">
        <is>
          <t>avverkningsanmälan</t>
        </is>
      </c>
      <c r="C115" t="inlineStr">
        <is>
          <t>Avverkning för annat ändamål</t>
        </is>
      </c>
      <c r="D115" s="1" t="n">
        <v>45183</v>
      </c>
      <c r="E115" s="1" t="n">
        <v>46283</v>
      </c>
      <c r="F115" t="inlineStr">
        <is>
          <t>NORRBOTTENS LÄN</t>
        </is>
      </c>
      <c r="G115" t="inlineStr">
        <is>
          <t>ARJEPLOG</t>
        </is>
      </c>
      <c r="H115" t="inlineStr">
        <is>
          <t>Allmännings- och besparingsskogar</t>
        </is>
      </c>
      <c r="I115" t="n">
        <v>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28787-2026</t>
        </is>
      </c>
      <c r="B116" t="inlineStr">
        <is>
          <t>avverkningsanmälan</t>
        </is>
      </c>
      <c r="C116" t="inlineStr">
        <is>
          <t>Föryngringsavverkning</t>
        </is>
      </c>
      <c r="D116" s="1" t="n">
        <v>46198</v>
      </c>
      <c r="E116" s="1" t="n">
        <v>46283</v>
      </c>
      <c r="F116" t="inlineStr">
        <is>
          <t>NORRBOTTENS LÄN</t>
        </is>
      </c>
      <c r="G116" t="inlineStr">
        <is>
          <t>ARJEPLOG</t>
        </is>
      </c>
      <c r="H116" t="inlineStr">
        <is>
          <t>Allmännings- och besparingsskogar</t>
        </is>
      </c>
      <c r="I116" t="n">
        <v>13.3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28532-2026</t>
        </is>
      </c>
      <c r="B117" t="inlineStr">
        <is>
          <t>avverkningsanmälan</t>
        </is>
      </c>
      <c r="C117" t="inlineStr">
        <is>
          <t>Avverkning för annat ändamål</t>
        </is>
      </c>
      <c r="D117" s="1" t="n">
        <v>46197</v>
      </c>
      <c r="E117" s="1" t="n">
        <v>46283</v>
      </c>
      <c r="F117" t="inlineStr">
        <is>
          <t>NORRBOTTENS LÄN</t>
        </is>
      </c>
      <c r="G117" t="inlineStr">
        <is>
          <t>ARJEPLOG</t>
        </is>
      </c>
      <c r="H117" t="inlineStr">
        <is>
          <t>Allmännings- och besparingsskogar</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28679-2026</t>
        </is>
      </c>
      <c r="B118" t="inlineStr">
        <is>
          <t>avverkningsanmälan</t>
        </is>
      </c>
      <c r="C118" t="inlineStr">
        <is>
          <t>Föryngringsavverkning</t>
        </is>
      </c>
      <c r="D118" s="1" t="n">
        <v>46198</v>
      </c>
      <c r="E118" s="1" t="n">
        <v>46283</v>
      </c>
      <c r="F118" t="inlineStr">
        <is>
          <t>NORRBOTTENS LÄN</t>
        </is>
      </c>
      <c r="G118" t="inlineStr">
        <is>
          <t>ARJEPLOG</t>
        </is>
      </c>
      <c r="H118" t="inlineStr">
        <is>
          <t>Allmännings- och besparingsskogar</t>
        </is>
      </c>
      <c r="I118" t="n">
        <v>17.2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28551-2026</t>
        </is>
      </c>
      <c r="B119" t="inlineStr">
        <is>
          <t>avverkningsanmälan</t>
        </is>
      </c>
      <c r="C119" t="inlineStr">
        <is>
          <t>Föryngringsavverkning</t>
        </is>
      </c>
      <c r="D119" s="1" t="n">
        <v>46197</v>
      </c>
      <c r="E119" s="1" t="n">
        <v>46283</v>
      </c>
      <c r="F119" t="inlineStr">
        <is>
          <t>NORRBOTTENS LÄN</t>
        </is>
      </c>
      <c r="G119" t="inlineStr">
        <is>
          <t>ARJEPLOG</t>
        </is>
      </c>
      <c r="H119" t="inlineStr">
        <is>
          <t>Allmännings- och besparingsskogar</t>
        </is>
      </c>
      <c r="I119" t="n">
        <v>22.9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60767-2025</t>
        </is>
      </c>
      <c r="B120" t="inlineStr">
        <is>
          <t>avverkningsanmälan</t>
        </is>
      </c>
      <c r="C120" t="inlineStr">
        <is>
          <t>Föryngringsavverkning</t>
        </is>
      </c>
      <c r="D120" s="1" t="n">
        <v>45999</v>
      </c>
      <c r="E120" s="1" t="n">
        <v>46283</v>
      </c>
      <c r="F120" t="inlineStr">
        <is>
          <t>NORRBOTTENS LÄN</t>
        </is>
      </c>
      <c r="G120" t="inlineStr">
        <is>
          <t>ARJEPLOG</t>
        </is>
      </c>
      <c r="I120" t="n">
        <v>11.3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60766-2025</t>
        </is>
      </c>
      <c r="B121" t="inlineStr">
        <is>
          <t>avverkningsanmälan</t>
        </is>
      </c>
      <c r="C121" t="inlineStr">
        <is>
          <t>Föryngringsavverkning</t>
        </is>
      </c>
      <c r="D121" s="1" t="n">
        <v>45999</v>
      </c>
      <c r="E121" s="1" t="n">
        <v>46283</v>
      </c>
      <c r="F121" t="inlineStr">
        <is>
          <t>NORRBOTTENS LÄN</t>
        </is>
      </c>
      <c r="G121" t="inlineStr">
        <is>
          <t>ARJEPLOG</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36006-2026</t>
        </is>
      </c>
      <c r="B122" t="inlineStr">
        <is>
          <t>avverkningsanmälan</t>
        </is>
      </c>
      <c r="C122" t="inlineStr">
        <is>
          <t>Avverkning för annat ändamål</t>
        </is>
      </c>
      <c r="D122" s="1" t="n">
        <v>46266</v>
      </c>
      <c r="E122" s="1" t="n">
        <v>46283</v>
      </c>
      <c r="F122" t="inlineStr">
        <is>
          <t>NORRBOTTENS LÄN</t>
        </is>
      </c>
      <c r="G122" t="inlineStr">
        <is>
          <t>ARJEPLOG</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64840-2023</t>
        </is>
      </c>
      <c r="B123" t="inlineStr">
        <is>
          <t>avverkningsanmälan</t>
        </is>
      </c>
      <c r="C123" t="inlineStr">
        <is>
          <t>Föryngringsavverkning</t>
        </is>
      </c>
      <c r="D123" s="1" t="n">
        <v>45281</v>
      </c>
      <c r="E123" s="1" t="n">
        <v>46283</v>
      </c>
      <c r="F123" t="inlineStr">
        <is>
          <t>NORRBOTTENS LÄN</t>
        </is>
      </c>
      <c r="G123" t="inlineStr">
        <is>
          <t>ARJEPLOG</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64816-2023</t>
        </is>
      </c>
      <c r="B124" t="inlineStr">
        <is>
          <t>avverkningsanmälan</t>
        </is>
      </c>
      <c r="C124" t="inlineStr">
        <is>
          <t>Föryngringsavverkning</t>
        </is>
      </c>
      <c r="D124" s="1" t="n">
        <v>45281</v>
      </c>
      <c r="E124" s="1" t="n">
        <v>46283</v>
      </c>
      <c r="F124" t="inlineStr">
        <is>
          <t>NORRBOTTENS LÄN</t>
        </is>
      </c>
      <c r="G124" t="inlineStr">
        <is>
          <t>ARJEPLOG</t>
        </is>
      </c>
      <c r="I124" t="n">
        <v>13.4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36470-2026</t>
        </is>
      </c>
      <c r="B125" t="inlineStr">
        <is>
          <t>avverkningsanmälan</t>
        </is>
      </c>
      <c r="C125" t="inlineStr">
        <is>
          <t>Föryngringsavverkning</t>
        </is>
      </c>
      <c r="D125" s="1" t="n">
        <v>46269</v>
      </c>
      <c r="E125" s="1" t="n">
        <v>46283</v>
      </c>
      <c r="F125" t="inlineStr">
        <is>
          <t>NORRBOTTENS LÄN</t>
        </is>
      </c>
      <c r="G125" t="inlineStr">
        <is>
          <t>ARJEPLOG</t>
        </is>
      </c>
      <c r="H125" t="inlineStr">
        <is>
          <t>Sveaskog</t>
        </is>
      </c>
      <c r="I125" t="n">
        <v>13.9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390-2026</t>
        </is>
      </c>
      <c r="B126" t="inlineStr">
        <is>
          <t>avverkningsanmälan</t>
        </is>
      </c>
      <c r="C126" t="inlineStr">
        <is>
          <t>Föryngringsavverkning</t>
        </is>
      </c>
      <c r="D126" s="1" t="n">
        <v>46028</v>
      </c>
      <c r="E126" s="1" t="n">
        <v>46283</v>
      </c>
      <c r="F126" t="inlineStr">
        <is>
          <t>NORRBOTTENS LÄN</t>
        </is>
      </c>
      <c r="G126" t="inlineStr">
        <is>
          <t>ARJEPLOG</t>
        </is>
      </c>
      <c r="I126" t="n">
        <v>19.5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46910-2024</t>
        </is>
      </c>
      <c r="B127" t="inlineStr">
        <is>
          <t>avverkningsanmälan</t>
        </is>
      </c>
      <c r="C127" t="inlineStr">
        <is>
          <t>Föryngringsavverkning</t>
        </is>
      </c>
      <c r="D127" s="1" t="n">
        <v>45583</v>
      </c>
      <c r="E127" s="1" t="n">
        <v>46283</v>
      </c>
      <c r="F127" t="inlineStr">
        <is>
          <t>NORRBOTTENS LÄN</t>
        </is>
      </c>
      <c r="G127" t="inlineStr">
        <is>
          <t>ARJEPLOG</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58370-2023</t>
        </is>
      </c>
      <c r="B128" t="inlineStr">
        <is>
          <t>avverkningsanmälan</t>
        </is>
      </c>
      <c r="C128" t="inlineStr">
        <is>
          <t>Avverkning för att bevara och utveckla /försöksver</t>
        </is>
      </c>
      <c r="D128" s="1" t="n">
        <v>45250</v>
      </c>
      <c r="E128" s="1" t="n">
        <v>46283</v>
      </c>
      <c r="F128" t="inlineStr">
        <is>
          <t>NORRBOTTENS LÄN</t>
        </is>
      </c>
      <c r="G128" t="inlineStr">
        <is>
          <t>ARJEPLOG</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12447-2025</t>
        </is>
      </c>
      <c r="B129" t="inlineStr">
        <is>
          <t>avverkningsanmälan</t>
        </is>
      </c>
      <c r="C129" t="inlineStr">
        <is>
          <t>Föryngringsavverkning</t>
        </is>
      </c>
      <c r="D129" s="1" t="n">
        <v>45730</v>
      </c>
      <c r="E129" s="1" t="n">
        <v>46283</v>
      </c>
      <c r="F129" t="inlineStr">
        <is>
          <t>NORRBOTTENS LÄN</t>
        </is>
      </c>
      <c r="G129" t="inlineStr">
        <is>
          <t>ARJEPLOG</t>
        </is>
      </c>
      <c r="I129" t="n">
        <v>7.9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25239-2023</t>
        </is>
      </c>
      <c r="B130" t="inlineStr">
        <is>
          <t>avverkningsanmälan</t>
        </is>
      </c>
      <c r="C130" t="inlineStr">
        <is>
          <t>Föryngringsavverkning</t>
        </is>
      </c>
      <c r="D130" s="1" t="n">
        <v>45079</v>
      </c>
      <c r="E130" s="1" t="n">
        <v>46283</v>
      </c>
      <c r="F130" t="inlineStr">
        <is>
          <t>NORRBOTTENS LÄN</t>
        </is>
      </c>
      <c r="G130" t="inlineStr">
        <is>
          <t>ARJEPLOG</t>
        </is>
      </c>
      <c r="H130" t="inlineStr">
        <is>
          <t>Övriga statliga verk och myndigheter</t>
        </is>
      </c>
      <c r="I130" t="n">
        <v>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55266-2024</t>
        </is>
      </c>
      <c r="B131" t="inlineStr">
        <is>
          <t>avverkningsanmälan</t>
        </is>
      </c>
      <c r="C131" t="inlineStr">
        <is>
          <t>Föryngringsavverkning</t>
        </is>
      </c>
      <c r="D131" s="1" t="n">
        <v>45621</v>
      </c>
      <c r="E131" s="1" t="n">
        <v>46283</v>
      </c>
      <c r="F131" t="inlineStr">
        <is>
          <t>NORRBOTTENS LÄN</t>
        </is>
      </c>
      <c r="G131" t="inlineStr">
        <is>
          <t>ARJEPLOG</t>
        </is>
      </c>
      <c r="I131" t="n">
        <v>11.3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20789-2022</t>
        </is>
      </c>
      <c r="B132" t="inlineStr">
        <is>
          <t>avverkningsanmälan</t>
        </is>
      </c>
      <c r="C132" t="inlineStr">
        <is>
          <t>Föryngringsavverkning</t>
        </is>
      </c>
      <c r="D132" s="1" t="n">
        <v>44701</v>
      </c>
      <c r="E132" s="1" t="n">
        <v>46283</v>
      </c>
      <c r="F132" t="inlineStr">
        <is>
          <t>NORRBOTTENS LÄN</t>
        </is>
      </c>
      <c r="G132" t="inlineStr">
        <is>
          <t>ARJEPLOG</t>
        </is>
      </c>
      <c r="I132" t="n">
        <v>20.3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42274-2022</t>
        </is>
      </c>
      <c r="B133" t="inlineStr">
        <is>
          <t>avverkningsanmälan</t>
        </is>
      </c>
      <c r="C133" t="inlineStr">
        <is>
          <t>Föryngringsavverkning</t>
        </is>
      </c>
      <c r="D133" s="1" t="n">
        <v>44830</v>
      </c>
      <c r="E133" s="1" t="n">
        <v>46283</v>
      </c>
      <c r="F133" t="inlineStr">
        <is>
          <t>NORRBOTTENS LÄN</t>
        </is>
      </c>
      <c r="G133" t="inlineStr">
        <is>
          <t>ARJEPLOG</t>
        </is>
      </c>
      <c r="H133" t="inlineStr">
        <is>
          <t>SCA</t>
        </is>
      </c>
      <c r="I133" t="n">
        <v>6.5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56276-2021</t>
        </is>
      </c>
      <c r="B134" t="inlineStr">
        <is>
          <t>avverkningsanmälan</t>
        </is>
      </c>
      <c r="C134" t="inlineStr">
        <is>
          <t>Avverkning för annat ändamål</t>
        </is>
      </c>
      <c r="D134" s="1" t="n">
        <v>44479</v>
      </c>
      <c r="E134" s="1" t="n">
        <v>46283</v>
      </c>
      <c r="F134" t="inlineStr">
        <is>
          <t>NORRBOTTENS LÄN</t>
        </is>
      </c>
      <c r="G134" t="inlineStr">
        <is>
          <t>ARJEPLOG</t>
        </is>
      </c>
      <c r="I134" t="n">
        <v>19.8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43045-2022</t>
        </is>
      </c>
      <c r="B135" t="inlineStr">
        <is>
          <t>avverkningsanmälan</t>
        </is>
      </c>
      <c r="C135" t="inlineStr">
        <is>
          <t>Föryngringsavverkning</t>
        </is>
      </c>
      <c r="D135" s="1" t="n">
        <v>44833</v>
      </c>
      <c r="E135" s="1" t="n">
        <v>46283</v>
      </c>
      <c r="F135" t="inlineStr">
        <is>
          <t>NORRBOTTENS LÄN</t>
        </is>
      </c>
      <c r="G135" t="inlineStr">
        <is>
          <t>ARJEPLOG</t>
        </is>
      </c>
      <c r="I135" t="n">
        <v>24.6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43045-2022</t>
        </is>
      </c>
      <c r="B136" t="inlineStr">
        <is>
          <t>avverkningsanmälan</t>
        </is>
      </c>
      <c r="C136" t="inlineStr">
        <is>
          <t>Föryngringsavverkning</t>
        </is>
      </c>
      <c r="D136" s="1" t="n">
        <v>44833</v>
      </c>
      <c r="E136" s="1" t="n">
        <v>46283</v>
      </c>
      <c r="F136" t="inlineStr">
        <is>
          <t>NORRBOTTENS LÄN</t>
        </is>
      </c>
      <c r="G136" t="inlineStr">
        <is>
          <t>ARJEPLOG</t>
        </is>
      </c>
      <c r="I136" t="n">
        <v>23.2</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46283</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2026-09-18T02:00:01Z</dcterms:created>
  <dcterms:modified xmlns:dcterms="http://purl.org/dc/terms/" xmlns:xsi="http://www.w3.org/2001/XMLSchema-instance" xsi:type="dcterms:W3CDTF">2026-09-18T02:00:01Z</dcterms:modified>
</cp:coreProperties>
</file>