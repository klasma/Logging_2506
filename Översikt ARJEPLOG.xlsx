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46280</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46280</v>
      </c>
      <c r="F5" t="inlineStr">
        <is>
          <t>NORRBOTTENS LÄN</t>
        </is>
      </c>
      <c r="G5" t="inlineStr">
        <is>
          <t>ARJEPLOG</t>
        </is>
      </c>
      <c r="I5" t="n">
        <v>11.2</v>
      </c>
      <c r="J5" t="n">
        <v>8</v>
      </c>
      <c r="K5" t="n">
        <v>8</v>
      </c>
      <c r="L5" t="n">
        <v>12</v>
      </c>
      <c r="M5" t="n">
        <v>7</v>
      </c>
      <c r="N5" t="n">
        <v>0</v>
      </c>
      <c r="O5" t="n">
        <v>0</v>
      </c>
      <c r="P5" t="n">
        <v>0</v>
      </c>
      <c r="Q5" t="n">
        <v>19</v>
      </c>
      <c r="R5" t="n">
        <v>7</v>
      </c>
      <c r="S5" t="n">
        <v>37</v>
      </c>
      <c r="T5" t="n">
        <v>168</v>
      </c>
      <c r="U5" t="n">
        <v>167</v>
      </c>
      <c r="V5"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46280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46280</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46280</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46280</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46280</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46280</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46280</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46280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46280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46280</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46280</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46280</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46280</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46280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46280</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46280</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46280</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1478-2026</t>
        </is>
      </c>
      <c r="B30" t="inlineStr">
        <is>
          <t>avverkningsanmälan</t>
        </is>
      </c>
      <c r="C30" t="inlineStr">
        <is>
          <t>Föryngringsavverkning</t>
        </is>
      </c>
      <c r="D30" s="1" t="n">
        <v>46033</v>
      </c>
      <c r="E30" s="1" t="n">
        <v>46280</v>
      </c>
      <c r="F30" t="inlineStr">
        <is>
          <t>NORRBOTTENS LÄN</t>
        </is>
      </c>
      <c r="G30" t="inlineStr">
        <is>
          <t>ARJEPLOG</t>
        </is>
      </c>
      <c r="H30" t="inlineStr">
        <is>
          <t>Övriga statliga verk och myndigheter</t>
        </is>
      </c>
      <c r="I30" t="n">
        <v>6.2</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1478-2026 artfynd.xlsx", "A 1478-2026")</f>
        <v/>
      </c>
      <c r="X30">
        <f>HYPERLINK("https://klasma.github.io/Logging_2506/kartor/A 1478-2026 karta.png", "A 1478-2026")</f>
        <v/>
      </c>
      <c r="Y30">
        <f>HYPERLINK("https://klasma.github.io/Logging_2506/kartor_geotiff/A 1478-2026 georefererad karta.tif", "A 1478-2026")</f>
        <v/>
      </c>
      <c r="AA30">
        <f>HYPERLINK("https://klasma.github.io/Logging_2506/klagomål/A 1478-2026 FSC-klagomål.docx", "A 1478-2026")</f>
        <v/>
      </c>
      <c r="AB30">
        <f>HYPERLINK("https://klasma.github.io/Logging_2506/klagomålsmail/A 1478-2026 FSC-klagomål mail.docx", "A 1478-2026")</f>
        <v/>
      </c>
      <c r="AC30">
        <f>HYPERLINK("https://klasma.github.io/Logging_2506/tillsyn/A 1478-2026 tillsynsbegäran.docx", "A 1478-2026")</f>
        <v/>
      </c>
      <c r="AD30">
        <f>HYPERLINK("https://klasma.github.io/Logging_2506/tillsynsmail/A 1478-2026 tillsynsbegäran mail.docx", "A 1478-2026")</f>
        <v/>
      </c>
      <c r="AE30">
        <f>HYPERLINK("https://klasma.github.io/Logging_2506/fåglar/A 1478-2026 prioriterade fågelarter.docx", "A 1478-2026")</f>
        <v/>
      </c>
    </row>
    <row r="31" ht="15" customHeight="1">
      <c r="A31" t="inlineStr">
        <is>
          <t>A 4544-2024</t>
        </is>
      </c>
      <c r="B31" t="inlineStr">
        <is>
          <t>avverkningsanmälan</t>
        </is>
      </c>
      <c r="C31" t="inlineStr">
        <is>
          <t>Föryngringsavverkning</t>
        </is>
      </c>
      <c r="D31" s="1" t="n">
        <v>45327</v>
      </c>
      <c r="E31" s="1" t="n">
        <v>46280</v>
      </c>
      <c r="F31" t="inlineStr">
        <is>
          <t>NORRBOTTENS LÄN</t>
        </is>
      </c>
      <c r="G31" t="inlineStr">
        <is>
          <t>ARJEPLOG</t>
        </is>
      </c>
      <c r="I31" t="n">
        <v>6</v>
      </c>
      <c r="J31" t="n">
        <v>1</v>
      </c>
      <c r="K31" t="n">
        <v>1</v>
      </c>
      <c r="L31" t="n">
        <v>4</v>
      </c>
      <c r="M31" t="n">
        <v>2</v>
      </c>
      <c r="N31" t="n">
        <v>0</v>
      </c>
      <c r="O31" t="n">
        <v>0</v>
      </c>
      <c r="P31" t="n">
        <v>0</v>
      </c>
      <c r="Q31" t="n">
        <v>6</v>
      </c>
      <c r="R31" t="n">
        <v>2</v>
      </c>
      <c r="S31" t="n">
        <v>8</v>
      </c>
      <c r="T31" t="n">
        <v>17</v>
      </c>
      <c r="U31" t="n">
        <v>0</v>
      </c>
      <c r="V31" s="2" t="inlineStr">
        <is>
          <t>Garnlav
Tajgaskinn
Knottrig blåslav
Rosenticka
Rynkskinn
Ullticka
Blodticka
Tjäder</t>
        </is>
      </c>
      <c r="W31">
        <f>HYPERLINK("https://klasma.github.io/Logging_2506/artfynd/A 4544-2024 artfynd.xlsx", "A 4544-2024")</f>
        <v/>
      </c>
      <c r="X31">
        <f>HYPERLINK("https://klasma.github.io/Logging_2506/kartor/A 4544-2024 karta.png", "A 4544-2024")</f>
        <v/>
      </c>
      <c r="Y31">
        <f>HYPERLINK("https://klasma.github.io/Logging_2506/kartor_geotiff/A 4544-2024 georefererad karta.tif", "A 4544-2024")</f>
        <v/>
      </c>
      <c r="AA31">
        <f>HYPERLINK("https://klasma.github.io/Logging_2506/klagomål/A 4544-2024 FSC-klagomål.docx", "A 4544-2024")</f>
        <v/>
      </c>
      <c r="AB31">
        <f>HYPERLINK("https://klasma.github.io/Logging_2506/klagomålsmail/A 4544-2024 FSC-klagomål mail.docx", "A 4544-2024")</f>
        <v/>
      </c>
      <c r="AC31">
        <f>HYPERLINK("https://klasma.github.io/Logging_2506/tillsyn/A 4544-2024 tillsynsbegäran.docx", "A 4544-2024")</f>
        <v/>
      </c>
      <c r="AD31">
        <f>HYPERLINK("https://klasma.github.io/Logging_2506/tillsynsmail/A 4544-2024 tillsynsbegäran mail.docx", "A 4544-2024")</f>
        <v/>
      </c>
      <c r="AE31">
        <f>HYPERLINK("https://klasma.github.io/Logging_2506/fåglar/A 4544-2024 prioriterade fågelarter.docx", "A 4544-2024")</f>
        <v/>
      </c>
    </row>
    <row r="32" ht="15" customHeight="1">
      <c r="A32" t="inlineStr">
        <is>
          <t>A 49079-2025</t>
        </is>
      </c>
      <c r="B32" t="inlineStr">
        <is>
          <t>avverkningsanmälan</t>
        </is>
      </c>
      <c r="C32" t="inlineStr">
        <is>
          <t>Föryngringsavverkning</t>
        </is>
      </c>
      <c r="D32" s="1" t="n">
        <v>45937</v>
      </c>
      <c r="E32" s="1" t="n">
        <v>46280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46280</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46280</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46280</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46280</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46280</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46280</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46280</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10525-2024</t>
        </is>
      </c>
      <c r="B40" t="inlineStr">
        <is>
          <t>avverkningsanmälan</t>
        </is>
      </c>
      <c r="C40" t="inlineStr">
        <is>
          <t>Föryngringsavverkning</t>
        </is>
      </c>
      <c r="D40" s="1" t="n">
        <v>45366</v>
      </c>
      <c r="E40" s="1" t="n">
        <v>46280</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41375-2024</t>
        </is>
      </c>
      <c r="B41" t="inlineStr">
        <is>
          <t>avverkningsanmälan</t>
        </is>
      </c>
      <c r="C41" t="inlineStr">
        <is>
          <t>Avverkning för annat ändamål</t>
        </is>
      </c>
      <c r="D41" s="1" t="n">
        <v>45559</v>
      </c>
      <c r="E41" s="1" t="n">
        <v>46280</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46280</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46280</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46280</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46280</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46280</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46280</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46280</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46280</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46280</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46280</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46280</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46280</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46280</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46280</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46280</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46280</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46280</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46280</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46280</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46280</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46280</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43045-2022</t>
        </is>
      </c>
      <c r="B63" t="inlineStr">
        <is>
          <t>avverkningsanmälan</t>
        </is>
      </c>
      <c r="C63" t="inlineStr">
        <is>
          <t>Föryngringsavverkning</t>
        </is>
      </c>
      <c r="D63" s="1" t="n">
        <v>44833</v>
      </c>
      <c r="E63" s="1" t="n">
        <v>46280</v>
      </c>
      <c r="F63" t="inlineStr">
        <is>
          <t>NORRBOTTENS LÄN</t>
        </is>
      </c>
      <c r="G63" t="inlineStr">
        <is>
          <t>ARJEPLOG</t>
        </is>
      </c>
      <c r="I63" t="n">
        <v>24.6</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46280</v>
      </c>
      <c r="F64" t="inlineStr">
        <is>
          <t>NORRBOTTENS LÄN</t>
        </is>
      </c>
      <c r="G64" t="inlineStr">
        <is>
          <t>ARJEPLOG</t>
        </is>
      </c>
      <c r="I64" t="n">
        <v>23.2</v>
      </c>
      <c r="J64" t="n">
        <v>0</v>
      </c>
      <c r="K64" t="n">
        <v>0</v>
      </c>
      <c r="L64" t="n">
        <v>0</v>
      </c>
      <c r="M64" t="n">
        <v>0</v>
      </c>
      <c r="N64" t="n">
        <v>0</v>
      </c>
      <c r="O64" t="n">
        <v>0</v>
      </c>
      <c r="P64" t="n">
        <v>0</v>
      </c>
      <c r="Q64" t="n">
        <v>0</v>
      </c>
      <c r="R64" t="n">
        <v>0</v>
      </c>
      <c r="S64" t="n">
        <v>0</v>
      </c>
      <c r="T64" t="n">
        <v>0</v>
      </c>
      <c r="U64" t="n">
        <v>0</v>
      </c>
      <c r="V64" s="2" t="inlineStr"/>
    </row>
    <row r="65" ht="15" customHeight="1">
      <c r="A65" t="inlineStr">
        <is>
          <t>A 35627-2025</t>
        </is>
      </c>
      <c r="B65" t="inlineStr">
        <is>
          <t>avverkningsanmälan</t>
        </is>
      </c>
      <c r="C65" t="inlineStr">
        <is>
          <t>Föryngringsavverkning</t>
        </is>
      </c>
      <c r="D65" s="1" t="n">
        <v>45859</v>
      </c>
      <c r="E65" s="1" t="n">
        <v>46280</v>
      </c>
      <c r="F65" t="inlineStr">
        <is>
          <t>NORRBOTTENS LÄN</t>
        </is>
      </c>
      <c r="G65" t="inlineStr">
        <is>
          <t>ARJEPLOG</t>
        </is>
      </c>
      <c r="I65" t="n">
        <v>8</v>
      </c>
      <c r="J65" t="n">
        <v>0</v>
      </c>
      <c r="K65" t="n">
        <v>0</v>
      </c>
      <c r="L65" t="n">
        <v>0</v>
      </c>
      <c r="M65" t="n">
        <v>0</v>
      </c>
      <c r="N65" t="n">
        <v>0</v>
      </c>
      <c r="O65" t="n">
        <v>0</v>
      </c>
      <c r="P65" t="n">
        <v>0</v>
      </c>
      <c r="Q65" t="n">
        <v>0</v>
      </c>
      <c r="R65" t="n">
        <v>0</v>
      </c>
      <c r="S65" t="n">
        <v>0</v>
      </c>
      <c r="T65" t="n">
        <v>0</v>
      </c>
      <c r="U65" t="n">
        <v>0</v>
      </c>
      <c r="V65" s="2" t="inlineStr"/>
    </row>
    <row r="66" ht="15" customHeight="1">
      <c r="A66" t="inlineStr">
        <is>
          <t>A 58370-2023</t>
        </is>
      </c>
      <c r="B66" t="inlineStr">
        <is>
          <t>avverkningsanmälan</t>
        </is>
      </c>
      <c r="C66" t="inlineStr">
        <is>
          <t>Avverkning för att bevara och utveckla /försöksver</t>
        </is>
      </c>
      <c r="D66" s="1" t="n">
        <v>45250</v>
      </c>
      <c r="E66" s="1" t="n">
        <v>46280</v>
      </c>
      <c r="F66" t="inlineStr">
        <is>
          <t>NORRBOTTENS LÄN</t>
        </is>
      </c>
      <c r="G66" t="inlineStr">
        <is>
          <t>ARJEPLOG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42331-2025</t>
        </is>
      </c>
      <c r="B67" t="inlineStr">
        <is>
          <t>avverkningsanmälan</t>
        </is>
      </c>
      <c r="C67" t="inlineStr">
        <is>
          <t>Föryngringsavverkning</t>
        </is>
      </c>
      <c r="D67" s="1" t="n">
        <v>45903</v>
      </c>
      <c r="E67" s="1" t="n">
        <v>46280</v>
      </c>
      <c r="F67" t="inlineStr">
        <is>
          <t>NORRBOTTENS LÄN</t>
        </is>
      </c>
      <c r="G67" t="inlineStr">
        <is>
          <t>ARJEPLOG</t>
        </is>
      </c>
      <c r="I67" t="n">
        <v>10</v>
      </c>
      <c r="J67" t="n">
        <v>0</v>
      </c>
      <c r="K67" t="n">
        <v>0</v>
      </c>
      <c r="L67" t="n">
        <v>0</v>
      </c>
      <c r="M67" t="n">
        <v>0</v>
      </c>
      <c r="N67" t="n">
        <v>0</v>
      </c>
      <c r="O67" t="n">
        <v>0</v>
      </c>
      <c r="P67" t="n">
        <v>0</v>
      </c>
      <c r="Q67" t="n">
        <v>0</v>
      </c>
      <c r="R67" t="n">
        <v>0</v>
      </c>
      <c r="S67" t="n">
        <v>0</v>
      </c>
      <c r="T67" t="n">
        <v>0</v>
      </c>
      <c r="U67" t="n">
        <v>0</v>
      </c>
      <c r="V67" s="2" t="inlineStr"/>
    </row>
    <row r="68" ht="15" customHeight="1">
      <c r="A68" t="inlineStr">
        <is>
          <t>A 42597-2025</t>
        </is>
      </c>
      <c r="B68" t="inlineStr">
        <is>
          <t>avverkningsanmälan</t>
        </is>
      </c>
      <c r="C68" t="inlineStr">
        <is>
          <t>Föryngringsavverkning</t>
        </is>
      </c>
      <c r="D68" s="1" t="n">
        <v>45905</v>
      </c>
      <c r="E68" s="1" t="n">
        <v>46280</v>
      </c>
      <c r="F68" t="inlineStr">
        <is>
          <t>NORRBOTTENS LÄN</t>
        </is>
      </c>
      <c r="G68" t="inlineStr">
        <is>
          <t>ARJEPLOG</t>
        </is>
      </c>
      <c r="I68" t="n">
        <v>9.199999999999999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42526-2025</t>
        </is>
      </c>
      <c r="B69" t="inlineStr">
        <is>
          <t>avverkningsanmälan</t>
        </is>
      </c>
      <c r="C69" t="inlineStr">
        <is>
          <t>Föryngringsavverkning</t>
        </is>
      </c>
      <c r="D69" s="1" t="n">
        <v>45905</v>
      </c>
      <c r="E69" s="1" t="n">
        <v>46280</v>
      </c>
      <c r="F69" t="inlineStr">
        <is>
          <t>NORRBOTTENS LÄN</t>
        </is>
      </c>
      <c r="G69" t="inlineStr">
        <is>
          <t>ARJEPLOG</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46280</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31104-2025</t>
        </is>
      </c>
      <c r="B71" t="inlineStr">
        <is>
          <t>avverkningsanmälan</t>
        </is>
      </c>
      <c r="C71" t="inlineStr">
        <is>
          <t>Föryngringsavverkning</t>
        </is>
      </c>
      <c r="D71" s="1" t="n">
        <v>45832</v>
      </c>
      <c r="E71" s="1" t="n">
        <v>46280</v>
      </c>
      <c r="F71" t="inlineStr">
        <is>
          <t>NORRBOTTENS LÄN</t>
        </is>
      </c>
      <c r="G71" t="inlineStr">
        <is>
          <t>ARJEPLOG</t>
        </is>
      </c>
      <c r="I71" t="n">
        <v>4.3</v>
      </c>
      <c r="J71" t="n">
        <v>0</v>
      </c>
      <c r="K71" t="n">
        <v>0</v>
      </c>
      <c r="L71" t="n">
        <v>0</v>
      </c>
      <c r="M71" t="n">
        <v>0</v>
      </c>
      <c r="N71" t="n">
        <v>0</v>
      </c>
      <c r="O71" t="n">
        <v>0</v>
      </c>
      <c r="P71" t="n">
        <v>0</v>
      </c>
      <c r="Q71" t="n">
        <v>0</v>
      </c>
      <c r="R71" t="n">
        <v>0</v>
      </c>
      <c r="S71" t="n">
        <v>0</v>
      </c>
      <c r="T71" t="n">
        <v>0</v>
      </c>
      <c r="U71" t="n">
        <v>0</v>
      </c>
      <c r="V71" s="2" t="inlineStr"/>
    </row>
    <row r="72" ht="15" customHeight="1">
      <c r="A72" t="inlineStr">
        <is>
          <t>A 12447-2025</t>
        </is>
      </c>
      <c r="B72" t="inlineStr">
        <is>
          <t>avverkningsanmälan</t>
        </is>
      </c>
      <c r="C72" t="inlineStr">
        <is>
          <t>Föryngringsavverkning</t>
        </is>
      </c>
      <c r="D72" s="1" t="n">
        <v>45730</v>
      </c>
      <c r="E72" s="1" t="n">
        <v>46280</v>
      </c>
      <c r="F72" t="inlineStr">
        <is>
          <t>NORRBOTTENS LÄN</t>
        </is>
      </c>
      <c r="G72" t="inlineStr">
        <is>
          <t>ARJEPLOG</t>
        </is>
      </c>
      <c r="I72" t="n">
        <v>7.9</v>
      </c>
      <c r="J72" t="n">
        <v>0</v>
      </c>
      <c r="K72" t="n">
        <v>0</v>
      </c>
      <c r="L72" t="n">
        <v>0</v>
      </c>
      <c r="M72" t="n">
        <v>0</v>
      </c>
      <c r="N72" t="n">
        <v>0</v>
      </c>
      <c r="O72" t="n">
        <v>0</v>
      </c>
      <c r="P72" t="n">
        <v>0</v>
      </c>
      <c r="Q72" t="n">
        <v>0</v>
      </c>
      <c r="R72" t="n">
        <v>0</v>
      </c>
      <c r="S72" t="n">
        <v>0</v>
      </c>
      <c r="T72" t="n">
        <v>0</v>
      </c>
      <c r="U72" t="n">
        <v>0</v>
      </c>
      <c r="V72" s="2" t="inlineStr"/>
    </row>
    <row r="73" ht="15" customHeight="1">
      <c r="A73" t="inlineStr">
        <is>
          <t>A 25239-2023</t>
        </is>
      </c>
      <c r="B73" t="inlineStr">
        <is>
          <t>avverkningsanmälan</t>
        </is>
      </c>
      <c r="C73" t="inlineStr">
        <is>
          <t>Föryngringsavverkning</t>
        </is>
      </c>
      <c r="D73" s="1" t="n">
        <v>45079</v>
      </c>
      <c r="E73" s="1" t="n">
        <v>46280</v>
      </c>
      <c r="F73" t="inlineStr">
        <is>
          <t>NORRBOTTENS LÄN</t>
        </is>
      </c>
      <c r="G73" t="inlineStr">
        <is>
          <t>ARJEPLOG</t>
        </is>
      </c>
      <c r="H73" t="inlineStr">
        <is>
          <t>Övriga statliga verk och myndigheter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25559-2022</t>
        </is>
      </c>
      <c r="B74" t="inlineStr">
        <is>
          <t>avverkningsanmälan</t>
        </is>
      </c>
      <c r="C74" t="inlineStr">
        <is>
          <t>Föryngringsavverkning</t>
        </is>
      </c>
      <c r="D74" s="1" t="n">
        <v>44732</v>
      </c>
      <c r="E74" s="1" t="n">
        <v>46280</v>
      </c>
      <c r="F74" t="inlineStr">
        <is>
          <t>NORRBOTTENS LÄN</t>
        </is>
      </c>
      <c r="G74" t="inlineStr">
        <is>
          <t>ARJEPLOG</t>
        </is>
      </c>
      <c r="H74" t="inlineStr">
        <is>
          <t>Övriga statliga verk och myndigheter</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46280</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3006-2024</t>
        </is>
      </c>
      <c r="B76" t="inlineStr">
        <is>
          <t>avverkningsanmälan</t>
        </is>
      </c>
      <c r="C76" t="inlineStr">
        <is>
          <t>Föryngringsavverkning</t>
        </is>
      </c>
      <c r="D76" s="1" t="n">
        <v>45315</v>
      </c>
      <c r="E76" s="1" t="n">
        <v>46280</v>
      </c>
      <c r="F76" t="inlineStr">
        <is>
          <t>NORRBOTTENS LÄN</t>
        </is>
      </c>
      <c r="G76" t="inlineStr">
        <is>
          <t>ARJEPLOG</t>
        </is>
      </c>
      <c r="I76" t="n">
        <v>9.1</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46280</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526-2025</t>
        </is>
      </c>
      <c r="B78" t="inlineStr">
        <is>
          <t>avverkningsanmälan</t>
        </is>
      </c>
      <c r="C78" t="inlineStr">
        <is>
          <t>Avverkning för annat ändamål</t>
        </is>
      </c>
      <c r="D78" s="1" t="n">
        <v>45664</v>
      </c>
      <c r="E78" s="1" t="n">
        <v>46280</v>
      </c>
      <c r="F78" t="inlineStr">
        <is>
          <t>NORRBOTTENS LÄN</t>
        </is>
      </c>
      <c r="G78" t="inlineStr">
        <is>
          <t>ARJEPLOG</t>
        </is>
      </c>
      <c r="H78" t="inlineStr">
        <is>
          <t>Övriga statliga verk och myndigheter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29662-2025</t>
        </is>
      </c>
      <c r="B79" t="inlineStr">
        <is>
          <t>avverkningsanmälan</t>
        </is>
      </c>
      <c r="C79" t="inlineStr">
        <is>
          <t>Föryngringsavverkning</t>
        </is>
      </c>
      <c r="D79" s="1" t="n">
        <v>45825</v>
      </c>
      <c r="E79" s="1" t="n">
        <v>46280</v>
      </c>
      <c r="F79" t="inlineStr">
        <is>
          <t>NORRBOTTENS LÄN</t>
        </is>
      </c>
      <c r="G79" t="inlineStr">
        <is>
          <t>ARJEPLOG</t>
        </is>
      </c>
      <c r="H79" t="inlineStr">
        <is>
          <t>Allmännings- och besparingsskogar</t>
        </is>
      </c>
      <c r="I79" t="n">
        <v>23.7</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46280</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58989-2024</t>
        </is>
      </c>
      <c r="B81" t="inlineStr">
        <is>
          <t>avverkningsanmälan</t>
        </is>
      </c>
      <c r="C81" t="inlineStr">
        <is>
          <t>Avverkning för annat ändamål</t>
        </is>
      </c>
      <c r="D81" s="1" t="n">
        <v>45636</v>
      </c>
      <c r="E81" s="1" t="n">
        <v>46280</v>
      </c>
      <c r="F81" t="inlineStr">
        <is>
          <t>NORRBOTTENS LÄN</t>
        </is>
      </c>
      <c r="G81" t="inlineStr">
        <is>
          <t>ARJEPLOG</t>
        </is>
      </c>
      <c r="H81" t="inlineStr">
        <is>
          <t>Sveaskog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23949-2024</t>
        </is>
      </c>
      <c r="B82" t="inlineStr">
        <is>
          <t>avverkningsanmälan</t>
        </is>
      </c>
      <c r="C82" t="inlineStr">
        <is>
          <t>Föryngringsavverkning</t>
        </is>
      </c>
      <c r="D82" s="1" t="n">
        <v>45455</v>
      </c>
      <c r="E82" s="1" t="n">
        <v>46280</v>
      </c>
      <c r="F82" t="inlineStr">
        <is>
          <t>NORRBOTTENS LÄN</t>
        </is>
      </c>
      <c r="G82" t="inlineStr">
        <is>
          <t>ARJEPLOG</t>
        </is>
      </c>
      <c r="H82" t="inlineStr">
        <is>
          <t>SCA</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25270-2023</t>
        </is>
      </c>
      <c r="B83" t="inlineStr">
        <is>
          <t>avverkningsanmälan</t>
        </is>
      </c>
      <c r="C83" t="inlineStr">
        <is>
          <t>Föryngringsavverkning</t>
        </is>
      </c>
      <c r="D83" s="1" t="n">
        <v>45079</v>
      </c>
      <c r="E83" s="1" t="n">
        <v>46280</v>
      </c>
      <c r="F83" t="inlineStr">
        <is>
          <t>NORRBOTTENS LÄN</t>
        </is>
      </c>
      <c r="G83" t="inlineStr">
        <is>
          <t>ARJEPLOG</t>
        </is>
      </c>
      <c r="H83" t="inlineStr">
        <is>
          <t>Övriga statliga verk och myndigheter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14861-2026</t>
        </is>
      </c>
      <c r="B84" t="inlineStr">
        <is>
          <t>avverkningsanmälan</t>
        </is>
      </c>
      <c r="C84" t="inlineStr">
        <is>
          <t>Föryngringsavverkning</t>
        </is>
      </c>
      <c r="D84" s="1" t="n">
        <v>46104</v>
      </c>
      <c r="E84" s="1" t="n">
        <v>46280</v>
      </c>
      <c r="F84" t="inlineStr">
        <is>
          <t>NORRBOTTENS LÄN</t>
        </is>
      </c>
      <c r="G84" t="inlineStr">
        <is>
          <t>ARJEPLOG</t>
        </is>
      </c>
      <c r="H84" t="inlineStr">
        <is>
          <t>Sveaskog</t>
        </is>
      </c>
      <c r="I84" t="n">
        <v>31.7</v>
      </c>
      <c r="J84" t="n">
        <v>0</v>
      </c>
      <c r="K84" t="n">
        <v>0</v>
      </c>
      <c r="L84" t="n">
        <v>0</v>
      </c>
      <c r="M84" t="n">
        <v>0</v>
      </c>
      <c r="N84" t="n">
        <v>0</v>
      </c>
      <c r="O84" t="n">
        <v>0</v>
      </c>
      <c r="P84" t="n">
        <v>0</v>
      </c>
      <c r="Q84" t="n">
        <v>0</v>
      </c>
      <c r="R84" t="n">
        <v>0</v>
      </c>
      <c r="S84" t="n">
        <v>0</v>
      </c>
      <c r="T84" t="n">
        <v>0</v>
      </c>
      <c r="U84" t="n">
        <v>0</v>
      </c>
      <c r="V84" s="2" t="inlineStr"/>
    </row>
    <row r="85" ht="15" customHeight="1">
      <c r="A85" t="inlineStr">
        <is>
          <t>A 54589-2021</t>
        </is>
      </c>
      <c r="B85" t="inlineStr">
        <is>
          <t>avverkningsanmälan</t>
        </is>
      </c>
      <c r="C85" t="inlineStr">
        <is>
          <t>Föryngringsavverkning</t>
        </is>
      </c>
      <c r="D85" s="1" t="n">
        <v>44473</v>
      </c>
      <c r="E85" s="1" t="n">
        <v>46280</v>
      </c>
      <c r="F85" t="inlineStr">
        <is>
          <t>NORRBOTTENS LÄN</t>
        </is>
      </c>
      <c r="G85" t="inlineStr">
        <is>
          <t>ARJEPLOG</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34426-2025</t>
        </is>
      </c>
      <c r="B86" t="inlineStr">
        <is>
          <t>avverkningsanmälan</t>
        </is>
      </c>
      <c r="C86" t="inlineStr">
        <is>
          <t>Föryngringsavverkning</t>
        </is>
      </c>
      <c r="D86" s="1" t="n">
        <v>45845</v>
      </c>
      <c r="E86" s="1" t="n">
        <v>46280</v>
      </c>
      <c r="F86" t="inlineStr">
        <is>
          <t>NORRBOTTENS LÄN</t>
        </is>
      </c>
      <c r="G86" t="inlineStr">
        <is>
          <t>ARJEPLOG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17536-2023</t>
        </is>
      </c>
      <c r="B87" t="inlineStr">
        <is>
          <t>avverkningsanmälan</t>
        </is>
      </c>
      <c r="C87" t="inlineStr">
        <is>
          <t>Föryngringsavverkning</t>
        </is>
      </c>
      <c r="D87" s="1" t="n">
        <v>45034</v>
      </c>
      <c r="E87" s="1" t="n">
        <v>46280</v>
      </c>
      <c r="F87" t="inlineStr">
        <is>
          <t>NORRBOTTENS LÄN</t>
        </is>
      </c>
      <c r="G87" t="inlineStr">
        <is>
          <t>ARJEPLOG</t>
        </is>
      </c>
      <c r="H87" t="inlineStr">
        <is>
          <t>Övriga statliga verk och myndigheter</t>
        </is>
      </c>
      <c r="I87" t="n">
        <v>20.3</v>
      </c>
      <c r="J87" t="n">
        <v>0</v>
      </c>
      <c r="K87" t="n">
        <v>0</v>
      </c>
      <c r="L87" t="n">
        <v>0</v>
      </c>
      <c r="M87" t="n">
        <v>0</v>
      </c>
      <c r="N87" t="n">
        <v>0</v>
      </c>
      <c r="O87" t="n">
        <v>0</v>
      </c>
      <c r="P87" t="n">
        <v>0</v>
      </c>
      <c r="Q87" t="n">
        <v>0</v>
      </c>
      <c r="R87" t="n">
        <v>0</v>
      </c>
      <c r="S87" t="n">
        <v>0</v>
      </c>
      <c r="T87" t="n">
        <v>0</v>
      </c>
      <c r="U87" t="n">
        <v>0</v>
      </c>
      <c r="V87" s="2" t="inlineStr"/>
    </row>
    <row r="88" ht="15" customHeight="1">
      <c r="A88" t="inlineStr">
        <is>
          <t>A 20319-2026</t>
        </is>
      </c>
      <c r="B88" t="inlineStr">
        <is>
          <t>avverkningsanmälan</t>
        </is>
      </c>
      <c r="C88" t="inlineStr">
        <is>
          <t>Föryngringsavverkning</t>
        </is>
      </c>
      <c r="D88" s="1" t="n">
        <v>46139</v>
      </c>
      <c r="E88" s="1" t="n">
        <v>46280</v>
      </c>
      <c r="F88" t="inlineStr">
        <is>
          <t>NORRBOTTENS LÄN</t>
        </is>
      </c>
      <c r="G88" t="inlineStr">
        <is>
          <t>ARJEPLOG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20326-2026</t>
        </is>
      </c>
      <c r="B89" t="inlineStr">
        <is>
          <t>avverkningsanmälan</t>
        </is>
      </c>
      <c r="C89" t="inlineStr">
        <is>
          <t>Föryngringsavverkning</t>
        </is>
      </c>
      <c r="D89" s="1" t="n">
        <v>46139</v>
      </c>
      <c r="E89" s="1" t="n">
        <v>46280</v>
      </c>
      <c r="F89" t="inlineStr">
        <is>
          <t>NORRBOTTENS LÄN</t>
        </is>
      </c>
      <c r="G89" t="inlineStr">
        <is>
          <t>ARJEPLOG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59887-2025</t>
        </is>
      </c>
      <c r="B90" t="inlineStr">
        <is>
          <t>avverkningsanmälan</t>
        </is>
      </c>
      <c r="C90" t="inlineStr">
        <is>
          <t>Föryngringsavverkning</t>
        </is>
      </c>
      <c r="D90" s="1" t="n">
        <v>45993</v>
      </c>
      <c r="E90" s="1" t="n">
        <v>46280</v>
      </c>
      <c r="F90" t="inlineStr">
        <is>
          <t>NORRBOTTENS LÄN</t>
        </is>
      </c>
      <c r="G90" t="inlineStr">
        <is>
          <t>ARJEPLOG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60767-2025</t>
        </is>
      </c>
      <c r="B91" t="inlineStr">
        <is>
          <t>avverkningsanmälan</t>
        </is>
      </c>
      <c r="C91" t="inlineStr">
        <is>
          <t>Föryngringsavverkning</t>
        </is>
      </c>
      <c r="D91" s="1" t="n">
        <v>45999</v>
      </c>
      <c r="E91" s="1" t="n">
        <v>46280</v>
      </c>
      <c r="F91" t="inlineStr">
        <is>
          <t>NORRBOTTENS LÄN</t>
        </is>
      </c>
      <c r="G91" t="inlineStr">
        <is>
          <t>ARJEPLOG</t>
        </is>
      </c>
      <c r="I91" t="n">
        <v>11.3</v>
      </c>
      <c r="J91" t="n">
        <v>0</v>
      </c>
      <c r="K91" t="n">
        <v>0</v>
      </c>
      <c r="L91" t="n">
        <v>0</v>
      </c>
      <c r="M91" t="n">
        <v>0</v>
      </c>
      <c r="N91" t="n">
        <v>0</v>
      </c>
      <c r="O91" t="n">
        <v>0</v>
      </c>
      <c r="P91" t="n">
        <v>0</v>
      </c>
      <c r="Q91" t="n">
        <v>0</v>
      </c>
      <c r="R91" t="n">
        <v>0</v>
      </c>
      <c r="S91" t="n">
        <v>0</v>
      </c>
      <c r="T91" t="n">
        <v>0</v>
      </c>
      <c r="U91" t="n">
        <v>0</v>
      </c>
      <c r="V91" s="2" t="inlineStr"/>
    </row>
    <row r="92" ht="15" customHeight="1">
      <c r="A92" t="inlineStr">
        <is>
          <t>A 60766-2025</t>
        </is>
      </c>
      <c r="B92" t="inlineStr">
        <is>
          <t>avverkningsanmälan</t>
        </is>
      </c>
      <c r="C92" t="inlineStr">
        <is>
          <t>Föryngringsavverkning</t>
        </is>
      </c>
      <c r="D92" s="1" t="n">
        <v>45999</v>
      </c>
      <c r="E92" s="1" t="n">
        <v>46280</v>
      </c>
      <c r="F92" t="inlineStr">
        <is>
          <t>NORRBOTTENS LÄN</t>
        </is>
      </c>
      <c r="G92" t="inlineStr">
        <is>
          <t>ARJEPLOG</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20789-2022</t>
        </is>
      </c>
      <c r="B93" t="inlineStr">
        <is>
          <t>avverkningsanmälan</t>
        </is>
      </c>
      <c r="C93" t="inlineStr">
        <is>
          <t>Föryngringsavverkning</t>
        </is>
      </c>
      <c r="D93" s="1" t="n">
        <v>44701</v>
      </c>
      <c r="E93" s="1" t="n">
        <v>46280</v>
      </c>
      <c r="F93" t="inlineStr">
        <is>
          <t>NORRBOTTENS LÄN</t>
        </is>
      </c>
      <c r="G93" t="inlineStr">
        <is>
          <t>ARJEPLOG</t>
        </is>
      </c>
      <c r="I93" t="n">
        <v>20.3</v>
      </c>
      <c r="J93" t="n">
        <v>0</v>
      </c>
      <c r="K93" t="n">
        <v>0</v>
      </c>
      <c r="L93" t="n">
        <v>0</v>
      </c>
      <c r="M93" t="n">
        <v>0</v>
      </c>
      <c r="N93" t="n">
        <v>0</v>
      </c>
      <c r="O93" t="n">
        <v>0</v>
      </c>
      <c r="P93" t="n">
        <v>0</v>
      </c>
      <c r="Q93" t="n">
        <v>0</v>
      </c>
      <c r="R93" t="n">
        <v>0</v>
      </c>
      <c r="S93" t="n">
        <v>0</v>
      </c>
      <c r="T93" t="n">
        <v>0</v>
      </c>
      <c r="U93" t="n">
        <v>0</v>
      </c>
      <c r="V93" s="2" t="inlineStr"/>
    </row>
    <row r="94" ht="15" customHeight="1">
      <c r="A94" t="inlineStr">
        <is>
          <t>A 20322-2026</t>
        </is>
      </c>
      <c r="B94" t="inlineStr">
        <is>
          <t>avverkningsanmälan</t>
        </is>
      </c>
      <c r="C94" t="inlineStr">
        <is>
          <t>Föryngringsavverkning</t>
        </is>
      </c>
      <c r="D94" s="1" t="n">
        <v>46139</v>
      </c>
      <c r="E94" s="1" t="n">
        <v>46280</v>
      </c>
      <c r="F94" t="inlineStr">
        <is>
          <t>NORRBOTTENS LÄN</t>
        </is>
      </c>
      <c r="G94" t="inlineStr">
        <is>
          <t>ARJEPLOG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26486-2024</t>
        </is>
      </c>
      <c r="B95" t="inlineStr">
        <is>
          <t>avverkningsanmälan</t>
        </is>
      </c>
      <c r="C95" t="inlineStr">
        <is>
          <t>Föryngringsavverkning</t>
        </is>
      </c>
      <c r="D95" s="1" t="n">
        <v>45469</v>
      </c>
      <c r="E95" s="1" t="n">
        <v>46280</v>
      </c>
      <c r="F95" t="inlineStr">
        <is>
          <t>NORRBOTTENS LÄN</t>
        </is>
      </c>
      <c r="G95" t="inlineStr">
        <is>
          <t>ARJEPLOG</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26472-2024</t>
        </is>
      </c>
      <c r="B96" t="inlineStr">
        <is>
          <t>avverkningsanmälan</t>
        </is>
      </c>
      <c r="C96" t="inlineStr">
        <is>
          <t>Föryngringsavverkning</t>
        </is>
      </c>
      <c r="D96" s="1" t="n">
        <v>45469</v>
      </c>
      <c r="E96" s="1" t="n">
        <v>46280</v>
      </c>
      <c r="F96" t="inlineStr">
        <is>
          <t>NORRBOTTENS LÄN</t>
        </is>
      </c>
      <c r="G96" t="inlineStr">
        <is>
          <t>ARJEPLOG</t>
        </is>
      </c>
      <c r="I96" t="n">
        <v>8.199999999999999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27092-2022</t>
        </is>
      </c>
      <c r="B97" t="inlineStr">
        <is>
          <t>avverkningsanmälan</t>
        </is>
      </c>
      <c r="C97" t="inlineStr">
        <is>
          <t>Föryngringsavverkning</t>
        </is>
      </c>
      <c r="D97" s="1" t="n">
        <v>44741</v>
      </c>
      <c r="E97" s="1" t="n">
        <v>46280</v>
      </c>
      <c r="F97" t="inlineStr">
        <is>
          <t>NORRBOTTENS LÄN</t>
        </is>
      </c>
      <c r="G97" t="inlineStr">
        <is>
          <t>ARJEPLOG</t>
        </is>
      </c>
      <c r="I97" t="n">
        <v>15.6</v>
      </c>
      <c r="J97" t="n">
        <v>0</v>
      </c>
      <c r="K97" t="n">
        <v>0</v>
      </c>
      <c r="L97" t="n">
        <v>0</v>
      </c>
      <c r="M97" t="n">
        <v>0</v>
      </c>
      <c r="N97" t="n">
        <v>0</v>
      </c>
      <c r="O97" t="n">
        <v>0</v>
      </c>
      <c r="P97" t="n">
        <v>0</v>
      </c>
      <c r="Q97" t="n">
        <v>0</v>
      </c>
      <c r="R97" t="n">
        <v>0</v>
      </c>
      <c r="S97" t="n">
        <v>0</v>
      </c>
      <c r="T97" t="n">
        <v>0</v>
      </c>
      <c r="U97" t="n">
        <v>0</v>
      </c>
      <c r="V97" s="2" t="inlineStr"/>
    </row>
    <row r="98" ht="15" customHeight="1">
      <c r="A98" t="inlineStr">
        <is>
          <t>A 64816-2023</t>
        </is>
      </c>
      <c r="B98" t="inlineStr">
        <is>
          <t>avverkningsanmälan</t>
        </is>
      </c>
      <c r="C98" t="inlineStr">
        <is>
          <t>Föryngringsavverkning</t>
        </is>
      </c>
      <c r="D98" s="1" t="n">
        <v>45281</v>
      </c>
      <c r="E98" s="1" t="n">
        <v>46280</v>
      </c>
      <c r="F98" t="inlineStr">
        <is>
          <t>NORRBOTTENS LÄN</t>
        </is>
      </c>
      <c r="G98" t="inlineStr">
        <is>
          <t>ARJEPLOG</t>
        </is>
      </c>
      <c r="I98" t="n">
        <v>13.4</v>
      </c>
      <c r="J98" t="n">
        <v>0</v>
      </c>
      <c r="K98" t="n">
        <v>0</v>
      </c>
      <c r="L98" t="n">
        <v>0</v>
      </c>
      <c r="M98" t="n">
        <v>0</v>
      </c>
      <c r="N98" t="n">
        <v>0</v>
      </c>
      <c r="O98" t="n">
        <v>0</v>
      </c>
      <c r="P98" t="n">
        <v>0</v>
      </c>
      <c r="Q98" t="n">
        <v>0</v>
      </c>
      <c r="R98" t="n">
        <v>0</v>
      </c>
      <c r="S98" t="n">
        <v>0</v>
      </c>
      <c r="T98" t="n">
        <v>0</v>
      </c>
      <c r="U98" t="n">
        <v>0</v>
      </c>
      <c r="V98" s="2" t="inlineStr"/>
    </row>
    <row r="99" ht="15" customHeight="1">
      <c r="A99" t="inlineStr">
        <is>
          <t>A 29674-2025</t>
        </is>
      </c>
      <c r="B99" t="inlineStr">
        <is>
          <t>avverkningsanmälan</t>
        </is>
      </c>
      <c r="C99" t="inlineStr">
        <is>
          <t>Föryngringsavverkning</t>
        </is>
      </c>
      <c r="D99" s="1" t="n">
        <v>45825</v>
      </c>
      <c r="E99" s="1" t="n">
        <v>46280</v>
      </c>
      <c r="F99" t="inlineStr">
        <is>
          <t>NORRBOTTENS LÄN</t>
        </is>
      </c>
      <c r="G99" t="inlineStr">
        <is>
          <t>ARJEPLOG</t>
        </is>
      </c>
      <c r="H99" t="inlineStr">
        <is>
          <t>Allmännings- och besparingsskogar</t>
        </is>
      </c>
      <c r="I99" t="n">
        <v>25.1</v>
      </c>
      <c r="J99" t="n">
        <v>0</v>
      </c>
      <c r="K99" t="n">
        <v>0</v>
      </c>
      <c r="L99" t="n">
        <v>0</v>
      </c>
      <c r="M99" t="n">
        <v>0</v>
      </c>
      <c r="N99" t="n">
        <v>0</v>
      </c>
      <c r="O99" t="n">
        <v>0</v>
      </c>
      <c r="P99" t="n">
        <v>0</v>
      </c>
      <c r="Q99" t="n">
        <v>0</v>
      </c>
      <c r="R99" t="n">
        <v>0</v>
      </c>
      <c r="S99" t="n">
        <v>0</v>
      </c>
      <c r="T99" t="n">
        <v>0</v>
      </c>
      <c r="U99" t="n">
        <v>0</v>
      </c>
      <c r="V99" s="2" t="inlineStr"/>
    </row>
    <row r="100" ht="15" customHeight="1">
      <c r="A100" t="inlineStr">
        <is>
          <t>A 23330-2026</t>
        </is>
      </c>
      <c r="B100" t="inlineStr">
        <is>
          <t>avverkningsanmälan</t>
        </is>
      </c>
      <c r="C100" t="inlineStr">
        <is>
          <t>Föryngringsavverkning</t>
        </is>
      </c>
      <c r="D100" s="1" t="n">
        <v>46162</v>
      </c>
      <c r="E100" s="1" t="n">
        <v>46280</v>
      </c>
      <c r="F100" t="inlineStr">
        <is>
          <t>NORRBOTTENS LÄN</t>
        </is>
      </c>
      <c r="G100" t="inlineStr">
        <is>
          <t>ARJEPLOG</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23335-2026</t>
        </is>
      </c>
      <c r="B101" t="inlineStr">
        <is>
          <t>avverkningsanmälan</t>
        </is>
      </c>
      <c r="C101" t="inlineStr">
        <is>
          <t>Föryngringsavverkning</t>
        </is>
      </c>
      <c r="D101" s="1" t="n">
        <v>46162</v>
      </c>
      <c r="E101" s="1" t="n">
        <v>46280</v>
      </c>
      <c r="F101" t="inlineStr">
        <is>
          <t>NORRBOTTENS LÄN</t>
        </is>
      </c>
      <c r="G101" t="inlineStr">
        <is>
          <t>ARJEPLOG</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28354-2022</t>
        </is>
      </c>
      <c r="B102" t="inlineStr">
        <is>
          <t>avverkningsanmälan</t>
        </is>
      </c>
      <c r="C102" t="inlineStr">
        <is>
          <t>Avverkning för annat ändamål</t>
        </is>
      </c>
      <c r="D102" s="1" t="n">
        <v>44735</v>
      </c>
      <c r="E102" s="1" t="n">
        <v>46280</v>
      </c>
      <c r="F102" t="inlineStr">
        <is>
          <t>NORRBOTTENS LÄN</t>
        </is>
      </c>
      <c r="G102" t="inlineStr">
        <is>
          <t>ARJEPLOG</t>
        </is>
      </c>
      <c r="H102" t="inlineStr">
        <is>
          <t>Övriga statliga verk och myndigheter</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53822-2024</t>
        </is>
      </c>
      <c r="B103" t="inlineStr">
        <is>
          <t>avverkningsanmälan</t>
        </is>
      </c>
      <c r="C103" t="inlineStr">
        <is>
          <t>Föryngringsavverkning</t>
        </is>
      </c>
      <c r="D103" s="1" t="n">
        <v>45614</v>
      </c>
      <c r="E103" s="1" t="n">
        <v>46280</v>
      </c>
      <c r="F103" t="inlineStr">
        <is>
          <t>NORRBOTTENS LÄN</t>
        </is>
      </c>
      <c r="G103" t="inlineStr">
        <is>
          <t>ARJEPLOG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26479-2024</t>
        </is>
      </c>
      <c r="B104" t="inlineStr">
        <is>
          <t>avverkningsanmälan</t>
        </is>
      </c>
      <c r="C104" t="inlineStr">
        <is>
          <t>Föryngringsavverkning</t>
        </is>
      </c>
      <c r="D104" s="1" t="n">
        <v>45468</v>
      </c>
      <c r="E104" s="1" t="n">
        <v>46280</v>
      </c>
      <c r="F104" t="inlineStr">
        <is>
          <t>NORRBOTTENS LÄN</t>
        </is>
      </c>
      <c r="G104" t="inlineStr">
        <is>
          <t>ARJEPLOG</t>
        </is>
      </c>
      <c r="I104" t="n">
        <v>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26048-2026</t>
        </is>
      </c>
      <c r="B105" t="inlineStr">
        <is>
          <t>avverkningsanmälan</t>
        </is>
      </c>
      <c r="C105" t="inlineStr">
        <is>
          <t>Föryngringsavverkning</t>
        </is>
      </c>
      <c r="D105" s="1" t="n">
        <v>46181</v>
      </c>
      <c r="E105" s="1" t="n">
        <v>46280</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27102-2026</t>
        </is>
      </c>
      <c r="B106" t="inlineStr">
        <is>
          <t>avverkningsanmälan</t>
        </is>
      </c>
      <c r="C106" t="inlineStr">
        <is>
          <t>Avverkning för annat ändamål</t>
        </is>
      </c>
      <c r="D106" s="1" t="n">
        <v>46188</v>
      </c>
      <c r="E106" s="1" t="n">
        <v>46280</v>
      </c>
      <c r="F106" t="inlineStr">
        <is>
          <t>NORRBOTTENS LÄN</t>
        </is>
      </c>
      <c r="G106" t="inlineStr">
        <is>
          <t>ARJEPLOG</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28799-2026</t>
        </is>
      </c>
      <c r="B107" t="inlineStr">
        <is>
          <t>avverkningsanmälan</t>
        </is>
      </c>
      <c r="C107" t="inlineStr">
        <is>
          <t>Föryngringsavverkning</t>
        </is>
      </c>
      <c r="D107" s="1" t="n">
        <v>46198</v>
      </c>
      <c r="E107" s="1" t="n">
        <v>46280</v>
      </c>
      <c r="F107" t="inlineStr">
        <is>
          <t>NORRBOTTENS LÄN</t>
        </is>
      </c>
      <c r="G107" t="inlineStr">
        <is>
          <t>ARJEPLOG</t>
        </is>
      </c>
      <c r="H107" t="inlineStr">
        <is>
          <t>Allmännings- och besparingsskogar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28804-2026</t>
        </is>
      </c>
      <c r="B108" t="inlineStr">
        <is>
          <t>avverkningsanmälan</t>
        </is>
      </c>
      <c r="C108" t="inlineStr">
        <is>
          <t>Föryngringsavverkning</t>
        </is>
      </c>
      <c r="D108" s="1" t="n">
        <v>46198</v>
      </c>
      <c r="E108" s="1" t="n">
        <v>46280</v>
      </c>
      <c r="F108" t="inlineStr">
        <is>
          <t>NORRBOTTENS LÄN</t>
        </is>
      </c>
      <c r="G108" t="inlineStr">
        <is>
          <t>ARJEPLOG</t>
        </is>
      </c>
      <c r="H108" t="inlineStr">
        <is>
          <t>Allmännings- och besparingsskogar</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28560-2026</t>
        </is>
      </c>
      <c r="B109" t="inlineStr">
        <is>
          <t>avverkningsanmälan</t>
        </is>
      </c>
      <c r="C109" t="inlineStr">
        <is>
          <t>Föryngringsavverkning</t>
        </is>
      </c>
      <c r="D109" s="1" t="n">
        <v>46197</v>
      </c>
      <c r="E109" s="1" t="n">
        <v>46280</v>
      </c>
      <c r="F109" t="inlineStr">
        <is>
          <t>NORRBOTTENS LÄN</t>
        </is>
      </c>
      <c r="G109" t="inlineStr">
        <is>
          <t>ARJEPLOG</t>
        </is>
      </c>
      <c r="H109" t="inlineStr">
        <is>
          <t>Allmännings- och besparingsskogar</t>
        </is>
      </c>
      <c r="I109" t="n">
        <v>14.2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33993-2026</t>
        </is>
      </c>
      <c r="B110" t="inlineStr">
        <is>
          <t>avverkningsanmälan</t>
        </is>
      </c>
      <c r="C110" t="inlineStr">
        <is>
          <t>Avverkning för annat ändamål</t>
        </is>
      </c>
      <c r="D110" s="1" t="n">
        <v>46252</v>
      </c>
      <c r="E110" s="1" t="n">
        <v>46280</v>
      </c>
      <c r="F110" t="inlineStr">
        <is>
          <t>NORRBOTTENS LÄN</t>
        </is>
      </c>
      <c r="G110" t="inlineStr">
        <is>
          <t>ARJEPLOG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27836-2026</t>
        </is>
      </c>
      <c r="B111" t="inlineStr">
        <is>
          <t>avverkningsanmälan</t>
        </is>
      </c>
      <c r="C111" t="inlineStr">
        <is>
          <t>Avverkning för annat ändamål</t>
        </is>
      </c>
      <c r="D111" s="1" t="n">
        <v>46189</v>
      </c>
      <c r="E111" s="1" t="n">
        <v>46280</v>
      </c>
      <c r="F111" t="inlineStr">
        <is>
          <t>NORRBOTTENS LÄN</t>
        </is>
      </c>
      <c r="G111" t="inlineStr">
        <is>
          <t>ARJEPLOG</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28679-2026</t>
        </is>
      </c>
      <c r="B112" t="inlineStr">
        <is>
          <t>avverkningsanmälan</t>
        </is>
      </c>
      <c r="C112" t="inlineStr">
        <is>
          <t>Föryngringsavverkning</t>
        </is>
      </c>
      <c r="D112" s="1" t="n">
        <v>46198</v>
      </c>
      <c r="E112" s="1" t="n">
        <v>46280</v>
      </c>
      <c r="F112" t="inlineStr">
        <is>
          <t>NORRBOTTENS LÄN</t>
        </is>
      </c>
      <c r="G112" t="inlineStr">
        <is>
          <t>ARJEPLOG</t>
        </is>
      </c>
      <c r="H112" t="inlineStr">
        <is>
          <t>Allmännings- och besparingsskogar</t>
        </is>
      </c>
      <c r="I112" t="n">
        <v>17.2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28787-2026</t>
        </is>
      </c>
      <c r="B113" t="inlineStr">
        <is>
          <t>avverkningsanmälan</t>
        </is>
      </c>
      <c r="C113" t="inlineStr">
        <is>
          <t>Föryngringsavverkning</t>
        </is>
      </c>
      <c r="D113" s="1" t="n">
        <v>46198</v>
      </c>
      <c r="E113" s="1" t="n">
        <v>46280</v>
      </c>
      <c r="F113" t="inlineStr">
        <is>
          <t>NORRBOTTENS LÄN</t>
        </is>
      </c>
      <c r="G113" t="inlineStr">
        <is>
          <t>ARJEPLOG</t>
        </is>
      </c>
      <c r="H113" t="inlineStr">
        <is>
          <t>Allmännings- och besparingsskogar</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28532-2026</t>
        </is>
      </c>
      <c r="B114" t="inlineStr">
        <is>
          <t>avverkningsanmälan</t>
        </is>
      </c>
      <c r="C114" t="inlineStr">
        <is>
          <t>Avverkning för annat ändamål</t>
        </is>
      </c>
      <c r="D114" s="1" t="n">
        <v>46197</v>
      </c>
      <c r="E114" s="1" t="n">
        <v>46280</v>
      </c>
      <c r="F114" t="inlineStr">
        <is>
          <t>NORRBOTTENS LÄN</t>
        </is>
      </c>
      <c r="G114" t="inlineStr">
        <is>
          <t>ARJEPLOG</t>
        </is>
      </c>
      <c r="H114" t="inlineStr">
        <is>
          <t>Allmännings- och besparingsskogar</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28551-2026</t>
        </is>
      </c>
      <c r="B115" t="inlineStr">
        <is>
          <t>avverkningsanmälan</t>
        </is>
      </c>
      <c r="C115" t="inlineStr">
        <is>
          <t>Föryngringsavverkning</t>
        </is>
      </c>
      <c r="D115" s="1" t="n">
        <v>46197</v>
      </c>
      <c r="E115" s="1" t="n">
        <v>46280</v>
      </c>
      <c r="F115" t="inlineStr">
        <is>
          <t>NORRBOTTENS LÄN</t>
        </is>
      </c>
      <c r="G115" t="inlineStr">
        <is>
          <t>ARJEPLOG</t>
        </is>
      </c>
      <c r="H115" t="inlineStr">
        <is>
          <t>Allmännings- och besparingsskogar</t>
        </is>
      </c>
      <c r="I115" t="n">
        <v>22.9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44218-2023</t>
        </is>
      </c>
      <c r="B116" t="inlineStr">
        <is>
          <t>avverkningsanmälan</t>
        </is>
      </c>
      <c r="C116" t="inlineStr">
        <is>
          <t>Avverkning för annat ändamål</t>
        </is>
      </c>
      <c r="D116" s="1" t="n">
        <v>45183</v>
      </c>
      <c r="E116" s="1" t="n">
        <v>46280</v>
      </c>
      <c r="F116" t="inlineStr">
        <is>
          <t>NORRBOTTENS LÄN</t>
        </is>
      </c>
      <c r="G116" t="inlineStr">
        <is>
          <t>ARJEPLOG</t>
        </is>
      </c>
      <c r="H116" t="inlineStr">
        <is>
          <t>Allmännings- och besparingsskogar</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36006-2026</t>
        </is>
      </c>
      <c r="B117" t="inlineStr">
        <is>
          <t>avverkningsanmälan</t>
        </is>
      </c>
      <c r="C117" t="inlineStr">
        <is>
          <t>Avverkning för annat ändamål</t>
        </is>
      </c>
      <c r="D117" s="1" t="n">
        <v>46266</v>
      </c>
      <c r="E117" s="1" t="n">
        <v>46280</v>
      </c>
      <c r="F117" t="inlineStr">
        <is>
          <t>NORRBOTTENS LÄN</t>
        </is>
      </c>
      <c r="G117" t="inlineStr">
        <is>
          <t>ARJEPLOG</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56754-2024</t>
        </is>
      </c>
      <c r="B118" t="inlineStr">
        <is>
          <t>avverkningsanmälan</t>
        </is>
      </c>
      <c r="C118" t="inlineStr">
        <is>
          <t>Föryngringsavverkning</t>
        </is>
      </c>
      <c r="D118" s="1" t="n">
        <v>45625</v>
      </c>
      <c r="E118" s="1" t="n">
        <v>46280</v>
      </c>
      <c r="F118" t="inlineStr">
        <is>
          <t>NORRBOTTENS LÄN</t>
        </is>
      </c>
      <c r="G118" t="inlineStr">
        <is>
          <t>ARJEPLOG</t>
        </is>
      </c>
      <c r="I118" t="n">
        <v>11.5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390-2026</t>
        </is>
      </c>
      <c r="B119" t="inlineStr">
        <is>
          <t>avverkningsanmälan</t>
        </is>
      </c>
      <c r="C119" t="inlineStr">
        <is>
          <t>Föryngringsavverkning</t>
        </is>
      </c>
      <c r="D119" s="1" t="n">
        <v>46028</v>
      </c>
      <c r="E119" s="1" t="n">
        <v>46280</v>
      </c>
      <c r="F119" t="inlineStr">
        <is>
          <t>NORRBOTTENS LÄN</t>
        </is>
      </c>
      <c r="G119" t="inlineStr">
        <is>
          <t>ARJEPLOG</t>
        </is>
      </c>
      <c r="I119" t="n">
        <v>19.5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61729-2024</t>
        </is>
      </c>
      <c r="B120" t="inlineStr">
        <is>
          <t>avverkningsanmälan</t>
        </is>
      </c>
      <c r="C120" t="inlineStr">
        <is>
          <t>Avverkning för annat ändamål</t>
        </is>
      </c>
      <c r="D120" s="1" t="n">
        <v>45649</v>
      </c>
      <c r="E120" s="1" t="n">
        <v>46280</v>
      </c>
      <c r="F120" t="inlineStr">
        <is>
          <t>NORRBOTTENS LÄN</t>
        </is>
      </c>
      <c r="G120" t="inlineStr">
        <is>
          <t>ARJEPLOG</t>
        </is>
      </c>
      <c r="H120" t="inlineStr">
        <is>
          <t>Övriga statliga verk och myndigheter</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36470-2026</t>
        </is>
      </c>
      <c r="B121" t="inlineStr">
        <is>
          <t>avverkningsanmälan</t>
        </is>
      </c>
      <c r="C121" t="inlineStr">
        <is>
          <t>Föryngringsavverkning</t>
        </is>
      </c>
      <c r="D121" s="1" t="n">
        <v>46269</v>
      </c>
      <c r="E121" s="1" t="n">
        <v>46280</v>
      </c>
      <c r="F121" t="inlineStr">
        <is>
          <t>NORRBOTTENS LÄN</t>
        </is>
      </c>
      <c r="G121" t="inlineStr">
        <is>
          <t>ARJEPLOG</t>
        </is>
      </c>
      <c r="H121" t="inlineStr">
        <is>
          <t>Sveaskog</t>
        </is>
      </c>
      <c r="I121" t="n">
        <v>13.9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26811-2022</t>
        </is>
      </c>
      <c r="B122" t="inlineStr">
        <is>
          <t>avverkningsanmälan</t>
        </is>
      </c>
      <c r="C122" t="inlineStr">
        <is>
          <t>Avverkning för annat ändamål</t>
        </is>
      </c>
      <c r="D122" s="1" t="n">
        <v>44735</v>
      </c>
      <c r="E122" s="1" t="n">
        <v>46280</v>
      </c>
      <c r="F122" t="inlineStr">
        <is>
          <t>NORRBOTTENS LÄN</t>
        </is>
      </c>
      <c r="G122" t="inlineStr">
        <is>
          <t>ARJEPLOG</t>
        </is>
      </c>
      <c r="H122" t="inlineStr">
        <is>
          <t>Övriga statliga verk och myndigheter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52581-2022</t>
        </is>
      </c>
      <c r="B123" t="inlineStr">
        <is>
          <t>avverkningsanmälan</t>
        </is>
      </c>
      <c r="C123" t="inlineStr">
        <is>
          <t>Föryngringsavverkning</t>
        </is>
      </c>
      <c r="D123" s="1" t="n">
        <v>44874</v>
      </c>
      <c r="E123" s="1" t="n">
        <v>46280</v>
      </c>
      <c r="F123" t="inlineStr">
        <is>
          <t>NORRBOTTENS LÄN</t>
        </is>
      </c>
      <c r="G123" t="inlineStr">
        <is>
          <t>ARJEPLOG</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25440-2024</t>
        </is>
      </c>
      <c r="B124" t="inlineStr">
        <is>
          <t>avverkningsanmälan</t>
        </is>
      </c>
      <c r="C124" t="inlineStr">
        <is>
          <t>Föryngringsavverkning</t>
        </is>
      </c>
      <c r="D124" s="1" t="n">
        <v>45463</v>
      </c>
      <c r="E124" s="1" t="n">
        <v>46280</v>
      </c>
      <c r="F124" t="inlineStr">
        <is>
          <t>NORRBOTTENS LÄN</t>
        </is>
      </c>
      <c r="G124" t="inlineStr">
        <is>
          <t>ARJEPLOG</t>
        </is>
      </c>
      <c r="H124" t="inlineStr">
        <is>
          <t>Allmännings- och besparingsskogar</t>
        </is>
      </c>
      <c r="I124" t="n">
        <v>30.7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26103-2024</t>
        </is>
      </c>
      <c r="B125" t="inlineStr">
        <is>
          <t>avverkningsanmälan</t>
        </is>
      </c>
      <c r="C125" t="inlineStr">
        <is>
          <t>Föryngringsavverkning</t>
        </is>
      </c>
      <c r="D125" s="1" t="n">
        <v>45467</v>
      </c>
      <c r="E125" s="1" t="n">
        <v>46280</v>
      </c>
      <c r="F125" t="inlineStr">
        <is>
          <t>NORRBOTTENS LÄN</t>
        </is>
      </c>
      <c r="G125" t="inlineStr">
        <is>
          <t>ARJEPLOG</t>
        </is>
      </c>
      <c r="I125" t="n">
        <v>17.2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64832-2023</t>
        </is>
      </c>
      <c r="B126" t="inlineStr">
        <is>
          <t>avverkningsanmälan</t>
        </is>
      </c>
      <c r="C126" t="inlineStr">
        <is>
          <t>Föryngringsavverkning</t>
        </is>
      </c>
      <c r="D126" s="1" t="n">
        <v>45281</v>
      </c>
      <c r="E126" s="1" t="n">
        <v>46280</v>
      </c>
      <c r="F126" t="inlineStr">
        <is>
          <t>NORRBOTTENS LÄN</t>
        </is>
      </c>
      <c r="G126" t="inlineStr">
        <is>
          <t>ARJEPLOG</t>
        </is>
      </c>
      <c r="I126" t="n">
        <v>43.6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12409-2025</t>
        </is>
      </c>
      <c r="B127" t="inlineStr">
        <is>
          <t>avverkningsanmälan</t>
        </is>
      </c>
      <c r="C127" t="inlineStr">
        <is>
          <t>Föryngringsavverkning</t>
        </is>
      </c>
      <c r="D127" s="1" t="n">
        <v>45730</v>
      </c>
      <c r="E127" s="1" t="n">
        <v>46280</v>
      </c>
      <c r="F127" t="inlineStr">
        <is>
          <t>NORRBOTTENS LÄN</t>
        </is>
      </c>
      <c r="G127" t="inlineStr">
        <is>
          <t>ARJEPLOG</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35194-2024</t>
        </is>
      </c>
      <c r="B128" t="inlineStr">
        <is>
          <t>avverkningsanmälan</t>
        </is>
      </c>
      <c r="C128" t="inlineStr">
        <is>
          <t>Föryngringsavverkning</t>
        </is>
      </c>
      <c r="D128" s="1" t="n">
        <v>45530</v>
      </c>
      <c r="E128" s="1" t="n">
        <v>46280</v>
      </c>
      <c r="F128" t="inlineStr">
        <is>
          <t>NORRBOTTENS LÄN</t>
        </is>
      </c>
      <c r="G128" t="inlineStr">
        <is>
          <t>ARJEPLOG</t>
        </is>
      </c>
      <c r="I128" t="n">
        <v>20.1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36623-2023</t>
        </is>
      </c>
      <c r="B129" t="inlineStr">
        <is>
          <t>avverkningsanmälan</t>
        </is>
      </c>
      <c r="C129" t="inlineStr">
        <is>
          <t>Föryngringsavverkning</t>
        </is>
      </c>
      <c r="D129" s="1" t="n">
        <v>45153</v>
      </c>
      <c r="E129" s="1" t="n">
        <v>46280</v>
      </c>
      <c r="F129" t="inlineStr">
        <is>
          <t>NORRBOTTENS LÄN</t>
        </is>
      </c>
      <c r="G129" t="inlineStr">
        <is>
          <t>ARJEPLOG</t>
        </is>
      </c>
      <c r="H129" t="inlineStr">
        <is>
          <t>Sveaskog</t>
        </is>
      </c>
      <c r="I129" t="n">
        <v>16.9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64840-2023</t>
        </is>
      </c>
      <c r="B130" t="inlineStr">
        <is>
          <t>avverkningsanmälan</t>
        </is>
      </c>
      <c r="C130" t="inlineStr">
        <is>
          <t>Föryngringsavverkning</t>
        </is>
      </c>
      <c r="D130" s="1" t="n">
        <v>45281</v>
      </c>
      <c r="E130" s="1" t="n">
        <v>46280</v>
      </c>
      <c r="F130" t="inlineStr">
        <is>
          <t>NORRBOTTENS LÄN</t>
        </is>
      </c>
      <c r="G130" t="inlineStr">
        <is>
          <t>ARJEPLOG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56785-2024</t>
        </is>
      </c>
      <c r="B131" t="inlineStr">
        <is>
          <t>avverkningsanmälan</t>
        </is>
      </c>
      <c r="C131" t="inlineStr">
        <is>
          <t>Föryngringsavverkning</t>
        </is>
      </c>
      <c r="D131" s="1" t="n">
        <v>45625</v>
      </c>
      <c r="E131" s="1" t="n">
        <v>46280</v>
      </c>
      <c r="F131" t="inlineStr">
        <is>
          <t>NORRBOTTENS LÄN</t>
        </is>
      </c>
      <c r="G131" t="inlineStr">
        <is>
          <t>ARJEPLOG</t>
        </is>
      </c>
      <c r="I131" t="n">
        <v>11.2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56800-2024</t>
        </is>
      </c>
      <c r="B132" t="inlineStr">
        <is>
          <t>avverkningsanmälan</t>
        </is>
      </c>
      <c r="C132" t="inlineStr">
        <is>
          <t>Föryngringsavverkning</t>
        </is>
      </c>
      <c r="D132" s="1" t="n">
        <v>45625</v>
      </c>
      <c r="E132" s="1" t="n">
        <v>46280</v>
      </c>
      <c r="F132" t="inlineStr">
        <is>
          <t>NORRBOTTENS LÄN</t>
        </is>
      </c>
      <c r="G132" t="inlineStr">
        <is>
          <t>ARJEPLOG</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56794-2024</t>
        </is>
      </c>
      <c r="B133" t="inlineStr">
        <is>
          <t>avverkningsanmälan</t>
        </is>
      </c>
      <c r="C133" t="inlineStr">
        <is>
          <t>Föryngringsavverkning</t>
        </is>
      </c>
      <c r="D133" s="1" t="n">
        <v>45625</v>
      </c>
      <c r="E133" s="1" t="n">
        <v>46280</v>
      </c>
      <c r="F133" t="inlineStr">
        <is>
          <t>NORRBOTTENS LÄN</t>
        </is>
      </c>
      <c r="G133" t="inlineStr">
        <is>
          <t>ARJEPLOG</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56782-2024</t>
        </is>
      </c>
      <c r="B134" t="inlineStr">
        <is>
          <t>avverkningsanmälan</t>
        </is>
      </c>
      <c r="C134" t="inlineStr">
        <is>
          <t>Föryngringsavverkning</t>
        </is>
      </c>
      <c r="D134" s="1" t="n">
        <v>45625</v>
      </c>
      <c r="E134" s="1" t="n">
        <v>46280</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46280</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46280</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46280</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2026-09-15T08:10:51Z</dcterms:created>
  <dcterms:modified xmlns:dcterms="http://purl.org/dc/terms/" xmlns:xsi="http://www.w3.org/2001/XMLSchema-instance" xsi:type="dcterms:W3CDTF">2026-09-15T08:10:51Z</dcterms:modified>
</cp:coreProperties>
</file>