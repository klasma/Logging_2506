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45970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45970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45970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45970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45970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45970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45970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45970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45970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45970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45970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64803-2023</t>
        </is>
      </c>
      <c r="B21" s="1" t="n">
        <v>45281</v>
      </c>
      <c r="C21" s="1" t="n">
        <v>45970</v>
      </c>
      <c r="D21" t="inlineStr">
        <is>
          <t>NORRBOTTENS LÄN</t>
        </is>
      </c>
      <c r="E21" t="inlineStr">
        <is>
          <t>ARJEPLOG</t>
        </is>
      </c>
      <c r="G21" t="n">
        <v>43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Gullmurkling
Lunglav
Rosenticka
Ullticka</t>
        </is>
      </c>
      <c r="S21">
        <f>HYPERLINK("https://klasma.github.io/Logging_2506/artfynd/A 64803-2023 artfynd.xlsx", "A 64803-2023")</f>
        <v/>
      </c>
      <c r="T21">
        <f>HYPERLINK("https://klasma.github.io/Logging_2506/kartor/A 64803-2023 karta.png", "A 64803-2023")</f>
        <v/>
      </c>
      <c r="V21">
        <f>HYPERLINK("https://klasma.github.io/Logging_2506/klagomål/A 64803-2023 FSC-klagomål.docx", "A 64803-2023")</f>
        <v/>
      </c>
      <c r="W21">
        <f>HYPERLINK("https://klasma.github.io/Logging_2506/klagomålsmail/A 64803-2023 FSC-klagomål mail.docx", "A 64803-2023")</f>
        <v/>
      </c>
      <c r="X21">
        <f>HYPERLINK("https://klasma.github.io/Logging_2506/tillsyn/A 64803-2023 tillsynsbegäran.docx", "A 64803-2023")</f>
        <v/>
      </c>
      <c r="Y21">
        <f>HYPERLINK("https://klasma.github.io/Logging_2506/tillsynsmail/A 64803-2023 tillsynsbegäran mail.docx", "A 64803-2023")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45970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45970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45970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15171-2022</t>
        </is>
      </c>
      <c r="B25" s="1" t="n">
        <v>44658</v>
      </c>
      <c r="C25" s="1" t="n">
        <v>45970</v>
      </c>
      <c r="D25" t="inlineStr">
        <is>
          <t>NORRBOTTENS LÄN</t>
        </is>
      </c>
      <c r="E25" t="inlineStr">
        <is>
          <t>ARJEPLOG</t>
        </is>
      </c>
      <c r="G25" t="n">
        <v>48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Lunglav
Tretåig hackspett</t>
        </is>
      </c>
      <c r="S25">
        <f>HYPERLINK("https://klasma.github.io/Logging_2506/artfynd/A 15171-2022 artfynd.xlsx", "A 15171-2022")</f>
        <v/>
      </c>
      <c r="T25">
        <f>HYPERLINK("https://klasma.github.io/Logging_2506/kartor/A 15171-2022 karta.png", "A 15171-2022")</f>
        <v/>
      </c>
      <c r="V25">
        <f>HYPERLINK("https://klasma.github.io/Logging_2506/klagomål/A 15171-2022 FSC-klagomål.docx", "A 15171-2022")</f>
        <v/>
      </c>
      <c r="W25">
        <f>HYPERLINK("https://klasma.github.io/Logging_2506/klagomålsmail/A 15171-2022 FSC-klagomål mail.docx", "A 15171-2022")</f>
        <v/>
      </c>
      <c r="X25">
        <f>HYPERLINK("https://klasma.github.io/Logging_2506/tillsyn/A 15171-2022 tillsynsbegäran.docx", "A 15171-2022")</f>
        <v/>
      </c>
      <c r="Y25">
        <f>HYPERLINK("https://klasma.github.io/Logging_2506/tillsynsmail/A 15171-2022 tillsynsbegäran mail.docx", "A 15171-2022")</f>
        <v/>
      </c>
      <c r="Z25">
        <f>HYPERLINK("https://klasma.github.io/Logging_2506/fåglar/A 15171-2022 prioriterade fågelarter.docx", "A 15171-2022")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45970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45970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45970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45970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45970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45970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45970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45970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45970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45970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45970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45970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45970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45970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45970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45970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45970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45970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45970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45970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45970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45970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45970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45970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45970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45970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45970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45970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45970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64857-2020</t>
        </is>
      </c>
      <c r="B55" s="1" t="n">
        <v>44171</v>
      </c>
      <c r="C55" s="1" t="n">
        <v>45970</v>
      </c>
      <c r="D55" t="inlineStr">
        <is>
          <t>NORRBOTTENS LÄN</t>
        </is>
      </c>
      <c r="E55" t="inlineStr">
        <is>
          <t>ARJEPLOG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41799-2021</t>
        </is>
      </c>
      <c r="B56" s="1" t="n">
        <v>44425</v>
      </c>
      <c r="C56" s="1" t="n">
        <v>45970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27092-2022</t>
        </is>
      </c>
      <c r="B57" s="1" t="n">
        <v>44741</v>
      </c>
      <c r="C57" s="1" t="n">
        <v>45970</v>
      </c>
      <c r="D57" t="inlineStr">
        <is>
          <t>NORRBOTTENS LÄN</t>
        </is>
      </c>
      <c r="E57" t="inlineStr">
        <is>
          <t>ARJEPLOG</t>
        </is>
      </c>
      <c r="G57" t="n">
        <v>15.6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45970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45970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45970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30870-2023</t>
        </is>
      </c>
      <c r="B61" s="1" t="n">
        <v>45113</v>
      </c>
      <c r="C61" s="1" t="n">
        <v>45970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25.5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64822-2023</t>
        </is>
      </c>
      <c r="B62" s="1" t="n">
        <v>45281</v>
      </c>
      <c r="C62" s="1" t="n">
        <v>45970</v>
      </c>
      <c r="D62" t="inlineStr">
        <is>
          <t>NORRBOTTENS LÄN</t>
        </is>
      </c>
      <c r="E62" t="inlineStr">
        <is>
          <t>ARJEPLOG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58370-2023</t>
        </is>
      </c>
      <c r="B63" s="1" t="n">
        <v>45250</v>
      </c>
      <c r="C63" s="1" t="n">
        <v>45970</v>
      </c>
      <c r="D63" t="inlineStr">
        <is>
          <t>NORRBOTTENS LÄN</t>
        </is>
      </c>
      <c r="E63" t="inlineStr">
        <is>
          <t>ARJEPLOG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53822-2024</t>
        </is>
      </c>
      <c r="B64" s="1" t="n">
        <v>45614</v>
      </c>
      <c r="C64" s="1" t="n">
        <v>45970</v>
      </c>
      <c r="D64" t="inlineStr">
        <is>
          <t>NORRBOTTENS LÄN</t>
        </is>
      </c>
      <c r="E64" t="inlineStr">
        <is>
          <t>ARJEPLOG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28354-2022</t>
        </is>
      </c>
      <c r="B65" s="1" t="n">
        <v>44735</v>
      </c>
      <c r="C65" s="1" t="n">
        <v>45970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10825-2025</t>
        </is>
      </c>
      <c r="B66" s="1" t="n">
        <v>45722</v>
      </c>
      <c r="C66" s="1" t="n">
        <v>45970</v>
      </c>
      <c r="D66" t="inlineStr">
        <is>
          <t>NORRBOTTENS LÄN</t>
        </is>
      </c>
      <c r="E66" t="inlineStr">
        <is>
          <t>ARJEPLOG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61729-2024</t>
        </is>
      </c>
      <c r="B67" s="1" t="n">
        <v>45649</v>
      </c>
      <c r="C67" s="1" t="n">
        <v>45970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38851-2025</t>
        </is>
      </c>
      <c r="B68" s="1" t="n">
        <v>45887.55271990741</v>
      </c>
      <c r="C68" s="1" t="n">
        <v>45970</v>
      </c>
      <c r="D68" t="inlineStr">
        <is>
          <t>NORRBOTTENS LÄN</t>
        </is>
      </c>
      <c r="E68" t="inlineStr">
        <is>
          <t>ARJEPLOG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29649-2024</t>
        </is>
      </c>
      <c r="B69" s="1" t="n">
        <v>45484</v>
      </c>
      <c r="C69" s="1" t="n">
        <v>45970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45970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45970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45072-2023</t>
        </is>
      </c>
      <c r="B72" s="1" t="n">
        <v>45187</v>
      </c>
      <c r="C72" s="1" t="n">
        <v>45970</v>
      </c>
      <c r="D72" t="inlineStr">
        <is>
          <t>NORRBOTTENS LÄN</t>
        </is>
      </c>
      <c r="E72" t="inlineStr">
        <is>
          <t>ARJEPLOG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26472-2024</t>
        </is>
      </c>
      <c r="B73" s="1" t="n">
        <v>45469</v>
      </c>
      <c r="C73" s="1" t="n">
        <v>45970</v>
      </c>
      <c r="D73" t="inlineStr">
        <is>
          <t>NORRBOTTENS LÄN</t>
        </is>
      </c>
      <c r="E73" t="inlineStr">
        <is>
          <t>ARJEPLOG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26486-2024</t>
        </is>
      </c>
      <c r="B74" s="1" t="n">
        <v>45469</v>
      </c>
      <c r="C74" s="1" t="n">
        <v>45970</v>
      </c>
      <c r="D74" t="inlineStr">
        <is>
          <t>NORRBOTTENS LÄN</t>
        </is>
      </c>
      <c r="E74" t="inlineStr">
        <is>
          <t>ARJEPLOG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35194-2024</t>
        </is>
      </c>
      <c r="B75" s="1" t="n">
        <v>45530</v>
      </c>
      <c r="C75" s="1" t="n">
        <v>45970</v>
      </c>
      <c r="D75" t="inlineStr">
        <is>
          <t>NORRBOTTENS LÄN</t>
        </is>
      </c>
      <c r="E75" t="inlineStr">
        <is>
          <t>ARJEPLOG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55266-2024</t>
        </is>
      </c>
      <c r="B76" s="1" t="n">
        <v>45621</v>
      </c>
      <c r="C76" s="1" t="n">
        <v>45970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52581-2022</t>
        </is>
      </c>
      <c r="B77" s="1" t="n">
        <v>44874</v>
      </c>
      <c r="C77" s="1" t="n">
        <v>45970</v>
      </c>
      <c r="D77" t="inlineStr">
        <is>
          <t>NORRBOTTENS LÄN</t>
        </is>
      </c>
      <c r="E77" t="inlineStr">
        <is>
          <t>ARJEPLOG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45970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45970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45970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20789-2022</t>
        </is>
      </c>
      <c r="B81" s="1" t="n">
        <v>44701</v>
      </c>
      <c r="C81" s="1" t="n">
        <v>45970</v>
      </c>
      <c r="D81" t="inlineStr">
        <is>
          <t>NORRBOTTENS LÄN</t>
        </is>
      </c>
      <c r="E81" t="inlineStr">
        <is>
          <t>ARJEPLOG</t>
        </is>
      </c>
      <c r="G81" t="n">
        <v>20.3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45970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26773-2022</t>
        </is>
      </c>
      <c r="B83" s="1" t="n">
        <v>44732</v>
      </c>
      <c r="C83" s="1" t="n">
        <v>45970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62801-2023</t>
        </is>
      </c>
      <c r="B84" s="1" t="n">
        <v>45268</v>
      </c>
      <c r="C84" s="1" t="n">
        <v>45970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45970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41061-2024</t>
        </is>
      </c>
      <c r="B86" s="1" t="n">
        <v>45558</v>
      </c>
      <c r="C86" s="1" t="n">
        <v>45970</v>
      </c>
      <c r="D86" t="inlineStr">
        <is>
          <t>NORRBOTTENS LÄN</t>
        </is>
      </c>
      <c r="E86" t="inlineStr">
        <is>
          <t>ARJEPLOG</t>
        </is>
      </c>
      <c r="G86" t="n">
        <v>23.1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23949-2024</t>
        </is>
      </c>
      <c r="B87" s="1" t="n">
        <v>45455</v>
      </c>
      <c r="C87" s="1" t="n">
        <v>45970</v>
      </c>
      <c r="D87" t="inlineStr">
        <is>
          <t>NORRBOTTENS LÄN</t>
        </is>
      </c>
      <c r="E87" t="inlineStr">
        <is>
          <t>ARJEPLOG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42274-2022</t>
        </is>
      </c>
      <c r="B88" s="1" t="n">
        <v>44830</v>
      </c>
      <c r="C88" s="1" t="n">
        <v>45970</v>
      </c>
      <c r="D88" t="inlineStr">
        <is>
          <t>NORRBOTTENS LÄN</t>
        </is>
      </c>
      <c r="E88" t="inlineStr">
        <is>
          <t>ARJEPLOG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45970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25239-2023</t>
        </is>
      </c>
      <c r="B90" s="1" t="n">
        <v>45079</v>
      </c>
      <c r="C90" s="1" t="n">
        <v>45970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48940-2023</t>
        </is>
      </c>
      <c r="B91" s="1" t="n">
        <v>45205</v>
      </c>
      <c r="C91" s="1" t="n">
        <v>45970</v>
      </c>
      <c r="D91" t="inlineStr">
        <is>
          <t>NORRBOTTENS LÄN</t>
        </is>
      </c>
      <c r="E91" t="inlineStr">
        <is>
          <t>ARJEPLOG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45730.48715277778</v>
      </c>
      <c r="C92" s="1" t="n">
        <v>45970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3006-2024</t>
        </is>
      </c>
      <c r="B93" s="1" t="n">
        <v>45315</v>
      </c>
      <c r="C93" s="1" t="n">
        <v>45970</v>
      </c>
      <c r="D93" t="inlineStr">
        <is>
          <t>NORRBOTTENS LÄN</t>
        </is>
      </c>
      <c r="E93" t="inlineStr">
        <is>
          <t>ARJEPLOG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25440-2024</t>
        </is>
      </c>
      <c r="B94" s="1" t="n">
        <v>45463</v>
      </c>
      <c r="C94" s="1" t="n">
        <v>45970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61272-2020</t>
        </is>
      </c>
      <c r="B95" s="1" t="n">
        <v>44154</v>
      </c>
      <c r="C95" s="1" t="n">
        <v>45970</v>
      </c>
      <c r="D95" t="inlineStr">
        <is>
          <t>NORRBOTTENS LÄN</t>
        </is>
      </c>
      <c r="E95" t="inlineStr">
        <is>
          <t>ARJEPLOG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45970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45970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26470-2024</t>
        </is>
      </c>
      <c r="B98" s="1" t="n">
        <v>45468</v>
      </c>
      <c r="C98" s="1" t="n">
        <v>45970</v>
      </c>
      <c r="D98" t="inlineStr">
        <is>
          <t>NORRBOTTENS LÄN</t>
        </is>
      </c>
      <c r="E98" t="inlineStr">
        <is>
          <t>ARJEPLOG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35627-2025</t>
        </is>
      </c>
      <c r="B99" s="1" t="n">
        <v>45859</v>
      </c>
      <c r="C99" s="1" t="n">
        <v>45970</v>
      </c>
      <c r="D99" t="inlineStr">
        <is>
          <t>NORRBOTTENS LÄN</t>
        </is>
      </c>
      <c r="E99" t="inlineStr">
        <is>
          <t>ARJEPLOG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45970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45777.40407407407</v>
      </c>
      <c r="C101" s="1" t="n">
        <v>45970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13119-2025</t>
        </is>
      </c>
      <c r="B102" s="1" t="n">
        <v>45734</v>
      </c>
      <c r="C102" s="1" t="n">
        <v>45970</v>
      </c>
      <c r="D102" t="inlineStr">
        <is>
          <t>NORRBOTTENS LÄN</t>
        </is>
      </c>
      <c r="E102" t="inlineStr">
        <is>
          <t>ARJEPLOG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25270-2023</t>
        </is>
      </c>
      <c r="B103" s="1" t="n">
        <v>45079</v>
      </c>
      <c r="C103" s="1" t="n">
        <v>45970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45970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45970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45970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56800-2024</t>
        </is>
      </c>
      <c r="B107" s="1" t="n">
        <v>45625</v>
      </c>
      <c r="C107" s="1" t="n">
        <v>45970</v>
      </c>
      <c r="D107" t="inlineStr">
        <is>
          <t>NORRBOTTENS LÄN</t>
        </is>
      </c>
      <c r="E107" t="inlineStr">
        <is>
          <t>ARJEPLOG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58989-2024</t>
        </is>
      </c>
      <c r="B108" s="1" t="n">
        <v>45636</v>
      </c>
      <c r="C108" s="1" t="n">
        <v>45970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42325-2025</t>
        </is>
      </c>
      <c r="B109" s="1" t="n">
        <v>45903</v>
      </c>
      <c r="C109" s="1" t="n">
        <v>45970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42331-2025</t>
        </is>
      </c>
      <c r="B110" s="1" t="n">
        <v>45903</v>
      </c>
      <c r="C110" s="1" t="n">
        <v>45970</v>
      </c>
      <c r="D110" t="inlineStr">
        <is>
          <t>NORRBOTTENS LÄN</t>
        </is>
      </c>
      <c r="E110" t="inlineStr">
        <is>
          <t>ARJEPLOG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42518-2025</t>
        </is>
      </c>
      <c r="B111" s="1" t="n">
        <v>45905</v>
      </c>
      <c r="C111" s="1" t="n">
        <v>45970</v>
      </c>
      <c r="D111" t="inlineStr">
        <is>
          <t>NORRBOTTENS LÄN</t>
        </is>
      </c>
      <c r="E111" t="inlineStr">
        <is>
          <t>ARJEPLOG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42597-2025</t>
        </is>
      </c>
      <c r="B112" s="1" t="n">
        <v>45905</v>
      </c>
      <c r="C112" s="1" t="n">
        <v>45970</v>
      </c>
      <c r="D112" t="inlineStr">
        <is>
          <t>NORRBOTTENS LÄN</t>
        </is>
      </c>
      <c r="E112" t="inlineStr">
        <is>
          <t>ARJEPLOG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56782-2024</t>
        </is>
      </c>
      <c r="B113" s="1" t="n">
        <v>45625</v>
      </c>
      <c r="C113" s="1" t="n">
        <v>45970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56794-2024</t>
        </is>
      </c>
      <c r="B114" s="1" t="n">
        <v>45625</v>
      </c>
      <c r="C114" s="1" t="n">
        <v>45970</v>
      </c>
      <c r="D114" t="inlineStr">
        <is>
          <t>NORRBOTTENS LÄN</t>
        </is>
      </c>
      <c r="E114" t="inlineStr">
        <is>
          <t>ARJEPLOG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45970</v>
      </c>
      <c r="D115" t="inlineStr">
        <is>
          <t>NORRBOTTENS LÄN</t>
        </is>
      </c>
      <c r="E115" t="inlineStr">
        <is>
          <t>ARJEPLOG</t>
        </is>
      </c>
      <c r="G115" t="n">
        <v>24.6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25928-2024</t>
        </is>
      </c>
      <c r="B116" s="1" t="n">
        <v>45467</v>
      </c>
      <c r="C116" s="1" t="n">
        <v>45970</v>
      </c>
      <c r="D116" t="inlineStr">
        <is>
          <t>NORRBOTTENS LÄN</t>
        </is>
      </c>
      <c r="E116" t="inlineStr">
        <is>
          <t>ARJEPLOG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45970</v>
      </c>
      <c r="D117" t="inlineStr">
        <is>
          <t>NORRBOTTENS LÄN</t>
        </is>
      </c>
      <c r="E117" t="inlineStr">
        <is>
          <t>ARJEPLOG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42526-2025</t>
        </is>
      </c>
      <c r="B118" s="1" t="n">
        <v>45905</v>
      </c>
      <c r="C118" s="1" t="n">
        <v>45970</v>
      </c>
      <c r="D118" t="inlineStr">
        <is>
          <t>NORRBOTTENS LÄN</t>
        </is>
      </c>
      <c r="E118" t="inlineStr">
        <is>
          <t>ARJEPLOG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45970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45970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29667-2025</t>
        </is>
      </c>
      <c r="B121" s="1" t="n">
        <v>45825</v>
      </c>
      <c r="C121" s="1" t="n">
        <v>45970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31104-2025</t>
        </is>
      </c>
      <c r="B122" s="1" t="n">
        <v>45832.60090277778</v>
      </c>
      <c r="C122" s="1" t="n">
        <v>45970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45970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53246-2025</t>
        </is>
      </c>
      <c r="B124" s="1" t="n">
        <v>45958.64807870371</v>
      </c>
      <c r="C124" s="1" t="n">
        <v>45970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45970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25559-2022</t>
        </is>
      </c>
      <c r="B126" s="1" t="n">
        <v>44732</v>
      </c>
      <c r="C126" s="1" t="n">
        <v>45970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45970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44943-2025</t>
        </is>
      </c>
      <c r="B128" s="1" t="n">
        <v>45918</v>
      </c>
      <c r="C128" s="1" t="n">
        <v>45970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45970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45970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30606-2025</t>
        </is>
      </c>
      <c r="B131" s="1" t="n">
        <v>45831</v>
      </c>
      <c r="C131" s="1" t="n">
        <v>45970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70.40000000000001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30617-2025</t>
        </is>
      </c>
      <c r="B132" s="1" t="n">
        <v>45831</v>
      </c>
      <c r="C132" s="1" t="n">
        <v>45970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29662-2025</t>
        </is>
      </c>
      <c r="B133" s="1" t="n">
        <v>45825</v>
      </c>
      <c r="C133" s="1" t="n">
        <v>45970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29674-2025</t>
        </is>
      </c>
      <c r="B134" s="1" t="n">
        <v>45825</v>
      </c>
      <c r="C134" s="1" t="n">
        <v>45970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45970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45970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26479-2024</t>
        </is>
      </c>
      <c r="B137" s="1" t="n">
        <v>45468</v>
      </c>
      <c r="C137" s="1" t="n">
        <v>45970</v>
      </c>
      <c r="D137" t="inlineStr">
        <is>
          <t>NORRBOTTENS LÄN</t>
        </is>
      </c>
      <c r="E137" t="inlineStr">
        <is>
          <t>ARJEPLOG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36779-2025</t>
        </is>
      </c>
      <c r="B138" s="1" t="n">
        <v>45873</v>
      </c>
      <c r="C138" s="1" t="n">
        <v>45970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37442-2025</t>
        </is>
      </c>
      <c r="B139" s="1" t="n">
        <v>45877.54096064815</v>
      </c>
      <c r="C139" s="1" t="n">
        <v>45970</v>
      </c>
      <c r="D139" t="inlineStr">
        <is>
          <t>NORRBOTTENS LÄN</t>
        </is>
      </c>
      <c r="E139" t="inlineStr">
        <is>
          <t>ARJEPLOG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64809-2023</t>
        </is>
      </c>
      <c r="B140" s="1" t="n">
        <v>45281</v>
      </c>
      <c r="C140" s="1" t="n">
        <v>45970</v>
      </c>
      <c r="D140" t="inlineStr">
        <is>
          <t>NORRBOTTENS LÄN</t>
        </is>
      </c>
      <c r="E140" t="inlineStr">
        <is>
          <t>ARJEPLOG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50255-2023</t>
        </is>
      </c>
      <c r="B141" s="1" t="n">
        <v>45216</v>
      </c>
      <c r="C141" s="1" t="n">
        <v>45970</v>
      </c>
      <c r="D141" t="inlineStr">
        <is>
          <t>NORRBOTTENS LÄN</t>
        </is>
      </c>
      <c r="E141" t="inlineStr">
        <is>
          <t>ARJEPLOG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46747-2025</t>
        </is>
      </c>
      <c r="B142" s="1" t="n">
        <v>45926</v>
      </c>
      <c r="C142" s="1" t="n">
        <v>45970</v>
      </c>
      <c r="D142" t="inlineStr">
        <is>
          <t>NORRBOTTENS LÄN</t>
        </is>
      </c>
      <c r="E142" t="inlineStr">
        <is>
          <t>ARJEPLOG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2025-11-09T10:07:23Z</dcterms:created>
  <dcterms:modified xmlns:dcterms="http://purl.org/dc/terms/" xmlns:xsi="http://www.w3.org/2001/XMLSchema-instance" xsi:type="dcterms:W3CDTF">2025-11-09T10:07:23Z</dcterms:modified>
</cp:coreProperties>
</file>