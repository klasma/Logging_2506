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45882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45882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45882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403-2024</t>
        </is>
      </c>
      <c r="B12" s="1" t="n">
        <v>45296</v>
      </c>
      <c r="C12" s="1" t="n">
        <v>45882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218.7</v>
      </c>
      <c r="H12" t="n">
        <v>1</v>
      </c>
      <c r="I12" t="n">
        <v>0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8</v>
      </c>
      <c r="R12" s="2" t="inlineStr">
        <is>
          <t>Ostticka
Rynkskinn
Garnlav
Granticka
Harticka
Rosenticka
Tretåig hackspett
Ullticka</t>
        </is>
      </c>
      <c r="S12">
        <f>HYPERLINK("https://klasma.github.io/Logging_2506/artfynd/A 403-2024 artfynd.xlsx", "A 403-2024")</f>
        <v/>
      </c>
      <c r="T12">
        <f>HYPERLINK("https://klasma.github.io/Logging_2506/kartor/A 403-2024 karta.png", "A 403-2024")</f>
        <v/>
      </c>
      <c r="V12">
        <f>HYPERLINK("https://klasma.github.io/Logging_2506/klagomål/A 403-2024 FSC-klagomål.docx", "A 403-2024")</f>
        <v/>
      </c>
      <c r="W12">
        <f>HYPERLINK("https://klasma.github.io/Logging_2506/klagomålsmail/A 403-2024 FSC-klagomål mail.docx", "A 403-2024")</f>
        <v/>
      </c>
      <c r="X12">
        <f>HYPERLINK("https://klasma.github.io/Logging_2506/tillsyn/A 403-2024 tillsynsbegäran.docx", "A 403-2024")</f>
        <v/>
      </c>
      <c r="Y12">
        <f>HYPERLINK("https://klasma.github.io/Logging_2506/tillsynsmail/A 403-2024 tillsynsbegäran mail.docx", "A 403-2024")</f>
        <v/>
      </c>
      <c r="Z12">
        <f>HYPERLINK("https://klasma.github.io/Logging_2506/fåglar/A 403-2024 prioriterade fågelarter.docx", "A 403-2024")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45882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45882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45882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45882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45882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45882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45882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45882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45882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45882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45882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45882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45882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12403-2025</t>
        </is>
      </c>
      <c r="B30" s="1" t="n">
        <v>45730</v>
      </c>
      <c r="C30" s="1" t="n">
        <v>45882</v>
      </c>
      <c r="D30" t="inlineStr">
        <is>
          <t>NORRBOTTENS LÄN</t>
        </is>
      </c>
      <c r="E30" t="inlineStr">
        <is>
          <t>ARJEPLOG</t>
        </is>
      </c>
      <c r="G30" t="n">
        <v>10.1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12403-2025 artfynd.xlsx", "A 12403-2025")</f>
        <v/>
      </c>
      <c r="T30">
        <f>HYPERLINK("https://klasma.github.io/Logging_2506/kartor/A 12403-2025 karta.png", "A 12403-2025")</f>
        <v/>
      </c>
      <c r="V30">
        <f>HYPERLINK("https://klasma.github.io/Logging_2506/klagomål/A 12403-2025 FSC-klagomål.docx", "A 12403-2025")</f>
        <v/>
      </c>
      <c r="W30">
        <f>HYPERLINK("https://klasma.github.io/Logging_2506/klagomålsmail/A 12403-2025 FSC-klagomål mail.docx", "A 12403-2025")</f>
        <v/>
      </c>
      <c r="X30">
        <f>HYPERLINK("https://klasma.github.io/Logging_2506/tillsyn/A 12403-2025 tillsynsbegäran.docx", "A 12403-2025")</f>
        <v/>
      </c>
      <c r="Y30">
        <f>HYPERLINK("https://klasma.github.io/Logging_2506/tillsynsmail/A 12403-2025 tillsynsbegäran mail.docx", "A 12403-2025")</f>
        <v/>
      </c>
      <c r="Z30">
        <f>HYPERLINK("https://klasma.github.io/Logging_2506/fåglar/A 12403-2025 prioriterade fågelarter.docx", "A 12403-2025")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45882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45882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45882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45882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45882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45882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45882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45882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45882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45882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45882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31439-2021</t>
        </is>
      </c>
      <c r="B46" s="1" t="n">
        <v>44369</v>
      </c>
      <c r="C46" s="1" t="n">
        <v>45882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64857-2020</t>
        </is>
      </c>
      <c r="B47" s="1" t="n">
        <v>44171</v>
      </c>
      <c r="C47" s="1" t="n">
        <v>45882</v>
      </c>
      <c r="D47" t="inlineStr">
        <is>
          <t>NORRBOTTENS LÄN</t>
        </is>
      </c>
      <c r="E47" t="inlineStr">
        <is>
          <t>ARJEPLOG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45882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45882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45882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45882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45882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45882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64837-2023</t>
        </is>
      </c>
      <c r="B55" s="1" t="n">
        <v>45281</v>
      </c>
      <c r="C55" s="1" t="n">
        <v>45882</v>
      </c>
      <c r="D55" t="inlineStr">
        <is>
          <t>NORRBOTTENS LÄN</t>
        </is>
      </c>
      <c r="E55" t="inlineStr">
        <is>
          <t>ARJEPLOG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64840-2023</t>
        </is>
      </c>
      <c r="B56" s="1" t="n">
        <v>45281</v>
      </c>
      <c r="C56" s="1" t="n">
        <v>45882</v>
      </c>
      <c r="D56" t="inlineStr">
        <is>
          <t>NORRBOTTENS LÄN</t>
        </is>
      </c>
      <c r="E56" t="inlineStr">
        <is>
          <t>ARJEPLOG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53822-2024</t>
        </is>
      </c>
      <c r="B57" s="1" t="n">
        <v>45614</v>
      </c>
      <c r="C57" s="1" t="n">
        <v>45882</v>
      </c>
      <c r="D57" t="inlineStr">
        <is>
          <t>NORRBOTTENS LÄN</t>
        </is>
      </c>
      <c r="E57" t="inlineStr">
        <is>
          <t>ARJEPLOG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41061-2024</t>
        </is>
      </c>
      <c r="B58" s="1" t="n">
        <v>45558</v>
      </c>
      <c r="C58" s="1" t="n">
        <v>45882</v>
      </c>
      <c r="D58" t="inlineStr">
        <is>
          <t>NORRBOTTENS LÄN</t>
        </is>
      </c>
      <c r="E58" t="inlineStr">
        <is>
          <t>ARJEPLOG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56785-2024</t>
        </is>
      </c>
      <c r="B59" s="1" t="n">
        <v>45625</v>
      </c>
      <c r="C59" s="1" t="n">
        <v>45882</v>
      </c>
      <c r="D59" t="inlineStr">
        <is>
          <t>NORRBOTTENS LÄN</t>
        </is>
      </c>
      <c r="E59" t="inlineStr">
        <is>
          <t>ARJEPLOG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64816-2023</t>
        </is>
      </c>
      <c r="B60" s="1" t="n">
        <v>45281</v>
      </c>
      <c r="C60" s="1" t="n">
        <v>45882</v>
      </c>
      <c r="D60" t="inlineStr">
        <is>
          <t>NORRBOTTENS LÄN</t>
        </is>
      </c>
      <c r="E60" t="inlineStr">
        <is>
          <t>ARJEPLOG</t>
        </is>
      </c>
      <c r="G60" t="n">
        <v>13.4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14375-2021</t>
        </is>
      </c>
      <c r="B61" s="1" t="n">
        <v>44279</v>
      </c>
      <c r="C61" s="1" t="n">
        <v>45882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60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25239-2023</t>
        </is>
      </c>
      <c r="B62" s="1" t="n">
        <v>45079</v>
      </c>
      <c r="C62" s="1" t="n">
        <v>45882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28354-2022</t>
        </is>
      </c>
      <c r="B63" s="1" t="n">
        <v>44735</v>
      </c>
      <c r="C63" s="1" t="n">
        <v>45882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25270-2023</t>
        </is>
      </c>
      <c r="B64" s="1" t="n">
        <v>45079</v>
      </c>
      <c r="C64" s="1" t="n">
        <v>45882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29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56800-2024</t>
        </is>
      </c>
      <c r="B65" s="1" t="n">
        <v>45625</v>
      </c>
      <c r="C65" s="1" t="n">
        <v>45882</v>
      </c>
      <c r="D65" t="inlineStr">
        <is>
          <t>NORRBOTTENS LÄN</t>
        </is>
      </c>
      <c r="E65" t="inlineStr">
        <is>
          <t>ARJEPLOG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45417-2024</t>
        </is>
      </c>
      <c r="B66" s="1" t="n">
        <v>45576</v>
      </c>
      <c r="C66" s="1" t="n">
        <v>45882</v>
      </c>
      <c r="D66" t="inlineStr">
        <is>
          <t>NORRBOTTENS LÄN</t>
        </is>
      </c>
      <c r="E66" t="inlineStr">
        <is>
          <t>ARJEPLOG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46910-2024</t>
        </is>
      </c>
      <c r="B67" s="1" t="n">
        <v>45583</v>
      </c>
      <c r="C67" s="1" t="n">
        <v>45882</v>
      </c>
      <c r="D67" t="inlineStr">
        <is>
          <t>NORRBOTTENS LÄN</t>
        </is>
      </c>
      <c r="E67" t="inlineStr">
        <is>
          <t>ARJEPLOG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73880-2021</t>
        </is>
      </c>
      <c r="B68" s="1" t="n">
        <v>44552</v>
      </c>
      <c r="C68" s="1" t="n">
        <v>45882</v>
      </c>
      <c r="D68" t="inlineStr">
        <is>
          <t>NORRBOTTENS LÄN</t>
        </is>
      </c>
      <c r="E68" t="inlineStr">
        <is>
          <t>ARJEPLOG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55266-2024</t>
        </is>
      </c>
      <c r="B69" s="1" t="n">
        <v>45621</v>
      </c>
      <c r="C69" s="1" t="n">
        <v>45882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55124-2024</t>
        </is>
      </c>
      <c r="B70" s="1" t="n">
        <v>45618</v>
      </c>
      <c r="C70" s="1" t="n">
        <v>45882</v>
      </c>
      <c r="D70" t="inlineStr">
        <is>
          <t>NORRBOTTENS LÄN</t>
        </is>
      </c>
      <c r="E70" t="inlineStr">
        <is>
          <t>ARJEPLOG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55422-2021</t>
        </is>
      </c>
      <c r="B71" s="1" t="n">
        <v>44475</v>
      </c>
      <c r="C71" s="1" t="n">
        <v>45882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45332-2024</t>
        </is>
      </c>
      <c r="B72" s="1" t="n">
        <v>45576</v>
      </c>
      <c r="C72" s="1" t="n">
        <v>45882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26472-2024</t>
        </is>
      </c>
      <c r="B73" s="1" t="n">
        <v>45469</v>
      </c>
      <c r="C73" s="1" t="n">
        <v>45882</v>
      </c>
      <c r="D73" t="inlineStr">
        <is>
          <t>NORRBOTTENS LÄN</t>
        </is>
      </c>
      <c r="E73" t="inlineStr">
        <is>
          <t>ARJEPLOG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26486-2024</t>
        </is>
      </c>
      <c r="B74" s="1" t="n">
        <v>45469</v>
      </c>
      <c r="C74" s="1" t="n">
        <v>45882</v>
      </c>
      <c r="D74" t="inlineStr">
        <is>
          <t>NORRBOTTENS LÄN</t>
        </is>
      </c>
      <c r="E74" t="inlineStr">
        <is>
          <t>ARJEPLOG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56794-2024</t>
        </is>
      </c>
      <c r="B75" s="1" t="n">
        <v>45625</v>
      </c>
      <c r="C75" s="1" t="n">
        <v>45882</v>
      </c>
      <c r="D75" t="inlineStr">
        <is>
          <t>NORRBOTTENS LÄN</t>
        </is>
      </c>
      <c r="E75" t="inlineStr">
        <is>
          <t>ARJEPLOG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44218-2023</t>
        </is>
      </c>
      <c r="B76" s="1" t="n">
        <v>45183</v>
      </c>
      <c r="C76" s="1" t="n">
        <v>45882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45882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45072-2023</t>
        </is>
      </c>
      <c r="B78" s="1" t="n">
        <v>45187</v>
      </c>
      <c r="C78" s="1" t="n">
        <v>45882</v>
      </c>
      <c r="D78" t="inlineStr">
        <is>
          <t>NORRBOTTENS LÄN</t>
        </is>
      </c>
      <c r="E78" t="inlineStr">
        <is>
          <t>ARJEPLOG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42274-2022</t>
        </is>
      </c>
      <c r="B79" s="1" t="n">
        <v>44830</v>
      </c>
      <c r="C79" s="1" t="n">
        <v>45882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45882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56754-2024</t>
        </is>
      </c>
      <c r="B81" s="1" t="n">
        <v>45625</v>
      </c>
      <c r="C81" s="1" t="n">
        <v>45882</v>
      </c>
      <c r="D81" t="inlineStr">
        <is>
          <t>NORRBOTTENS LÄN</t>
        </is>
      </c>
      <c r="E81" t="inlineStr">
        <is>
          <t>ARJEPLOG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30870-2023</t>
        </is>
      </c>
      <c r="B82" s="1" t="n">
        <v>45113</v>
      </c>
      <c r="C82" s="1" t="n">
        <v>45882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61729-2024</t>
        </is>
      </c>
      <c r="B83" s="1" t="n">
        <v>45649</v>
      </c>
      <c r="C83" s="1" t="n">
        <v>45882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56276-2021</t>
        </is>
      </c>
      <c r="B84" s="1" t="n">
        <v>44479</v>
      </c>
      <c r="C84" s="1" t="n">
        <v>45882</v>
      </c>
      <c r="D84" t="inlineStr">
        <is>
          <t>NORRBOTTENS LÄN</t>
        </is>
      </c>
      <c r="E84" t="inlineStr">
        <is>
          <t>ARJEPLOG</t>
        </is>
      </c>
      <c r="G84" t="n">
        <v>19.8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58370-2023</t>
        </is>
      </c>
      <c r="B85" s="1" t="n">
        <v>45250</v>
      </c>
      <c r="C85" s="1" t="n">
        <v>45882</v>
      </c>
      <c r="D85" t="inlineStr">
        <is>
          <t>NORRBOTTENS LÄN</t>
        </is>
      </c>
      <c r="E85" t="inlineStr">
        <is>
          <t>ARJEPLOG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64822-2023</t>
        </is>
      </c>
      <c r="B86" s="1" t="n">
        <v>45281</v>
      </c>
      <c r="C86" s="1" t="n">
        <v>45882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45882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29649-2024</t>
        </is>
      </c>
      <c r="B88" s="1" t="n">
        <v>45484</v>
      </c>
      <c r="C88" s="1" t="n">
        <v>45882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13119-2025</t>
        </is>
      </c>
      <c r="B89" s="1" t="n">
        <v>45734</v>
      </c>
      <c r="C89" s="1" t="n">
        <v>45882</v>
      </c>
      <c r="D89" t="inlineStr">
        <is>
          <t>NORRBOTTENS LÄN</t>
        </is>
      </c>
      <c r="E89" t="inlineStr">
        <is>
          <t>ARJEPLOG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45924-2023</t>
        </is>
      </c>
      <c r="B90" s="1" t="n">
        <v>45189</v>
      </c>
      <c r="C90" s="1" t="n">
        <v>45882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20905-2025</t>
        </is>
      </c>
      <c r="B91" s="1" t="n">
        <v>45777.40407407407</v>
      </c>
      <c r="C91" s="1" t="n">
        <v>45882</v>
      </c>
      <c r="D91" t="inlineStr">
        <is>
          <t>NORRBOTTENS LÄN</t>
        </is>
      </c>
      <c r="E91" t="inlineStr">
        <is>
          <t>ARJEPLOG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20916-2025</t>
        </is>
      </c>
      <c r="B92" s="1" t="n">
        <v>45777.41037037037</v>
      </c>
      <c r="C92" s="1" t="n">
        <v>45882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10825-2025</t>
        </is>
      </c>
      <c r="B93" s="1" t="n">
        <v>45722</v>
      </c>
      <c r="C93" s="1" t="n">
        <v>45882</v>
      </c>
      <c r="D93" t="inlineStr">
        <is>
          <t>NORRBOTTENS LÄN</t>
        </is>
      </c>
      <c r="E93" t="inlineStr">
        <is>
          <t>ARJEPLOG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45882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18923-2025</t>
        </is>
      </c>
      <c r="B95" s="1" t="n">
        <v>45764</v>
      </c>
      <c r="C95" s="1" t="n">
        <v>45882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3006-2024</t>
        </is>
      </c>
      <c r="B96" s="1" t="n">
        <v>45315</v>
      </c>
      <c r="C96" s="1" t="n">
        <v>45882</v>
      </c>
      <c r="D96" t="inlineStr">
        <is>
          <t>NORRBOTTENS LÄN</t>
        </is>
      </c>
      <c r="E96" t="inlineStr">
        <is>
          <t>ARJEPLOG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526-2025</t>
        </is>
      </c>
      <c r="B97" s="1" t="n">
        <v>45664</v>
      </c>
      <c r="C97" s="1" t="n">
        <v>45882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62801-2023</t>
        </is>
      </c>
      <c r="B98" s="1" t="n">
        <v>45268</v>
      </c>
      <c r="C98" s="1" t="n">
        <v>45882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64809-2023</t>
        </is>
      </c>
      <c r="B99" s="1" t="n">
        <v>45281</v>
      </c>
      <c r="C99" s="1" t="n">
        <v>45882</v>
      </c>
      <c r="D99" t="inlineStr">
        <is>
          <t>NORRBOTTENS LÄN</t>
        </is>
      </c>
      <c r="E99" t="inlineStr">
        <is>
          <t>ARJEPLOG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64826-2023</t>
        </is>
      </c>
      <c r="B100" s="1" t="n">
        <v>45281</v>
      </c>
      <c r="C100" s="1" t="n">
        <v>45882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25928-2024</t>
        </is>
      </c>
      <c r="B101" s="1" t="n">
        <v>45467</v>
      </c>
      <c r="C101" s="1" t="n">
        <v>45882</v>
      </c>
      <c r="D101" t="inlineStr">
        <is>
          <t>NORRBOTTENS LÄN</t>
        </is>
      </c>
      <c r="E101" t="inlineStr">
        <is>
          <t>ARJEPLOG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26470-2024</t>
        </is>
      </c>
      <c r="B102" s="1" t="n">
        <v>45468</v>
      </c>
      <c r="C102" s="1" t="n">
        <v>45882</v>
      </c>
      <c r="D102" t="inlineStr">
        <is>
          <t>NORRBOTTENS LÄN</t>
        </is>
      </c>
      <c r="E102" t="inlineStr">
        <is>
          <t>ARJEPLOG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45882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23949-2024</t>
        </is>
      </c>
      <c r="B104" s="1" t="n">
        <v>45455</v>
      </c>
      <c r="C104" s="1" t="n">
        <v>45882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25440-2024</t>
        </is>
      </c>
      <c r="B105" s="1" t="n">
        <v>45463</v>
      </c>
      <c r="C105" s="1" t="n">
        <v>45882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30.7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45882</v>
      </c>
      <c r="D106" t="inlineStr">
        <is>
          <t>NORRBOTTENS LÄN</t>
        </is>
      </c>
      <c r="E106" t="inlineStr">
        <is>
          <t>ARJEPLOG</t>
        </is>
      </c>
      <c r="G106" t="n">
        <v>24.6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26109-2024</t>
        </is>
      </c>
      <c r="B107" s="1" t="n">
        <v>45467</v>
      </c>
      <c r="C107" s="1" t="n">
        <v>45882</v>
      </c>
      <c r="D107" t="inlineStr">
        <is>
          <t>NORRBOTTENS LÄN</t>
        </is>
      </c>
      <c r="E107" t="inlineStr">
        <is>
          <t>ARJEPLOG</t>
        </is>
      </c>
      <c r="G107" t="n">
        <v>16.6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43045-2022</t>
        </is>
      </c>
      <c r="B108" s="1" t="n">
        <v>44833</v>
      </c>
      <c r="C108" s="1" t="n">
        <v>45882</v>
      </c>
      <c r="D108" t="inlineStr">
        <is>
          <t>NORRBOTTENS LÄN</t>
        </is>
      </c>
      <c r="E108" t="inlineStr">
        <is>
          <t>ARJEPLOG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48376-2023</t>
        </is>
      </c>
      <c r="B109" s="1" t="n">
        <v>45205</v>
      </c>
      <c r="C109" s="1" t="n">
        <v>45882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Aktiebolag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26103-2024</t>
        </is>
      </c>
      <c r="B110" s="1" t="n">
        <v>45467</v>
      </c>
      <c r="C110" s="1" t="n">
        <v>45882</v>
      </c>
      <c r="D110" t="inlineStr">
        <is>
          <t>NORRBOTTENS LÄN</t>
        </is>
      </c>
      <c r="E110" t="inlineStr">
        <is>
          <t>ARJEPLOG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64832-2023</t>
        </is>
      </c>
      <c r="B111" s="1" t="n">
        <v>45281</v>
      </c>
      <c r="C111" s="1" t="n">
        <v>45882</v>
      </c>
      <c r="D111" t="inlineStr">
        <is>
          <t>NORRBOTTENS LÄN</t>
        </is>
      </c>
      <c r="E111" t="inlineStr">
        <is>
          <t>ARJEPLOG</t>
        </is>
      </c>
      <c r="G111" t="n">
        <v>43.6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25559-2022</t>
        </is>
      </c>
      <c r="B112" s="1" t="n">
        <v>44732</v>
      </c>
      <c r="C112" s="1" t="n">
        <v>45882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39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54589-2021</t>
        </is>
      </c>
      <c r="B113" s="1" t="n">
        <v>44473</v>
      </c>
      <c r="C113" s="1" t="n">
        <v>45882</v>
      </c>
      <c r="D113" t="inlineStr">
        <is>
          <t>NORRBOTTENS LÄN</t>
        </is>
      </c>
      <c r="E113" t="inlineStr">
        <is>
          <t>ARJEPLOG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58989-2024</t>
        </is>
      </c>
      <c r="B114" s="1" t="n">
        <v>45636</v>
      </c>
      <c r="C114" s="1" t="n">
        <v>45882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12447-2025</t>
        </is>
      </c>
      <c r="B115" s="1" t="n">
        <v>45730.48715277778</v>
      </c>
      <c r="C115" s="1" t="n">
        <v>45882</v>
      </c>
      <c r="D115" t="inlineStr">
        <is>
          <t>NORRBOTTENS LÄN</t>
        </is>
      </c>
      <c r="E115" t="inlineStr">
        <is>
          <t>ARJEPLOG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50255-2023</t>
        </is>
      </c>
      <c r="B116" s="1" t="n">
        <v>45216</v>
      </c>
      <c r="C116" s="1" t="n">
        <v>45882</v>
      </c>
      <c r="D116" t="inlineStr">
        <is>
          <t>NORRBOTTENS LÄN</t>
        </is>
      </c>
      <c r="E116" t="inlineStr">
        <is>
          <t>ARJEPLOG</t>
        </is>
      </c>
      <c r="G116" t="n">
        <v>20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29667-2025</t>
        </is>
      </c>
      <c r="B117" s="1" t="n">
        <v>45825</v>
      </c>
      <c r="C117" s="1" t="n">
        <v>45882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12409-2025</t>
        </is>
      </c>
      <c r="B118" s="1" t="n">
        <v>45730.43366898148</v>
      </c>
      <c r="C118" s="1" t="n">
        <v>45882</v>
      </c>
      <c r="D118" t="inlineStr">
        <is>
          <t>NORRBOTTENS LÄN</t>
        </is>
      </c>
      <c r="E118" t="inlineStr">
        <is>
          <t>ARJEPLOG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45882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26773-2022</t>
        </is>
      </c>
      <c r="B120" s="1" t="n">
        <v>44732</v>
      </c>
      <c r="C120" s="1" t="n">
        <v>45882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34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20789-2022</t>
        </is>
      </c>
      <c r="B121" s="1" t="n">
        <v>44701</v>
      </c>
      <c r="C121" s="1" t="n">
        <v>45882</v>
      </c>
      <c r="D121" t="inlineStr">
        <is>
          <t>NORRBOTTENS LÄN</t>
        </is>
      </c>
      <c r="E121" t="inlineStr">
        <is>
          <t>ARJEPLOG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45326-2024</t>
        </is>
      </c>
      <c r="B122" s="1" t="n">
        <v>45576</v>
      </c>
      <c r="C122" s="1" t="n">
        <v>45882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31104-2025</t>
        </is>
      </c>
      <c r="B123" s="1" t="n">
        <v>45832.60090277778</v>
      </c>
      <c r="C123" s="1" t="n">
        <v>45882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37442-2025</t>
        </is>
      </c>
      <c r="B124" s="1" t="n">
        <v>45877.54096064815</v>
      </c>
      <c r="C124" s="1" t="n">
        <v>45882</v>
      </c>
      <c r="D124" t="inlineStr">
        <is>
          <t>NORRBOTTENS LÄN</t>
        </is>
      </c>
      <c r="E124" t="inlineStr">
        <is>
          <t>ARJEPLOG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45882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61272-2020</t>
        </is>
      </c>
      <c r="B126" s="1" t="n">
        <v>44154</v>
      </c>
      <c r="C126" s="1" t="n">
        <v>45882</v>
      </c>
      <c r="D126" t="inlineStr">
        <is>
          <t>NORRBOTTENS LÄN</t>
        </is>
      </c>
      <c r="E126" t="inlineStr">
        <is>
          <t>ARJEPLOG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45882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36623-2023</t>
        </is>
      </c>
      <c r="B128" s="1" t="n">
        <v>45153</v>
      </c>
      <c r="C128" s="1" t="n">
        <v>45882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2025-08-13T08:26:25Z</dcterms:created>
  <dcterms:modified xmlns:dcterms="http://purl.org/dc/terms/" xmlns:xsi="http://www.w3.org/2001/XMLSchema-instance" xsi:type="dcterms:W3CDTF">2025-08-13T08:26:25Z</dcterms:modified>
</cp:coreProperties>
</file>