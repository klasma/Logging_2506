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45963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45963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45963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48673-2023</t>
        </is>
      </c>
      <c r="B15" s="1" t="n">
        <v>45203</v>
      </c>
      <c r="C15" s="1" t="n">
        <v>45963</v>
      </c>
      <c r="D15" t="inlineStr">
        <is>
          <t>NORRBOTTENS LÄN</t>
        </is>
      </c>
      <c r="E15" t="inlineStr">
        <is>
          <t>ARJEPLOG</t>
        </is>
      </c>
      <c r="G15" t="n">
        <v>32.7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Rynkskinn
Garnlav
Granticka
Gränsticka
Harticka
Lunglav
Rosenticka
Ullticka</t>
        </is>
      </c>
      <c r="S15">
        <f>HYPERLINK("https://klasma.github.io/Logging_2506/artfynd/A 48673-2023 artfynd.xlsx", "A 48673-2023")</f>
        <v/>
      </c>
      <c r="T15">
        <f>HYPERLINK("https://klasma.github.io/Logging_2506/kartor/A 48673-2023 karta.png", "A 48673-2023")</f>
        <v/>
      </c>
      <c r="V15">
        <f>HYPERLINK("https://klasma.github.io/Logging_2506/klagomål/A 48673-2023 FSC-klagomål.docx", "A 48673-2023")</f>
        <v/>
      </c>
      <c r="W15">
        <f>HYPERLINK("https://klasma.github.io/Logging_2506/klagomålsmail/A 48673-2023 FSC-klagomål mail.docx", "A 48673-2023")</f>
        <v/>
      </c>
      <c r="X15">
        <f>HYPERLINK("https://klasma.github.io/Logging_2506/tillsyn/A 48673-2023 tillsynsbegäran.docx", "A 48673-2023")</f>
        <v/>
      </c>
      <c r="Y15">
        <f>HYPERLINK("https://klasma.github.io/Logging_2506/tillsynsmail/A 48673-2023 tillsynsbegäran mail.docx", "A 48673-2023")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45963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45963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45963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49079-2025</t>
        </is>
      </c>
      <c r="B21" s="1" t="n">
        <v>45937</v>
      </c>
      <c r="C21" s="1" t="n">
        <v>45963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24.7</v>
      </c>
      <c r="H21" t="n">
        <v>4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Spindelblomster
Mattlummer
Revlummer</t>
        </is>
      </c>
      <c r="S21">
        <f>HYPERLINK("https://klasma.github.io/Logging_2506/artfynd/A 49079-2025 artfynd.xlsx", "A 49079-2025")</f>
        <v/>
      </c>
      <c r="T21">
        <f>HYPERLINK("https://klasma.github.io/Logging_2506/kartor/A 49079-2025 karta.png", "A 49079-2025")</f>
        <v/>
      </c>
      <c r="V21">
        <f>HYPERLINK("https://klasma.github.io/Logging_2506/klagomål/A 49079-2025 FSC-klagomål.docx", "A 49079-2025")</f>
        <v/>
      </c>
      <c r="W21">
        <f>HYPERLINK("https://klasma.github.io/Logging_2506/klagomålsmail/A 49079-2025 FSC-klagomål mail.docx", "A 49079-2025")</f>
        <v/>
      </c>
      <c r="X21">
        <f>HYPERLINK("https://klasma.github.io/Logging_2506/tillsyn/A 49079-2025 tillsynsbegäran.docx", "A 49079-2025")</f>
        <v/>
      </c>
      <c r="Y21">
        <f>HYPERLINK("https://klasma.github.io/Logging_2506/tillsynsmail/A 49079-2025 tillsynsbegäran mail.docx", "A 49079-2025")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45963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45963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26143-2024</t>
        </is>
      </c>
      <c r="B24" s="1" t="n">
        <v>45467</v>
      </c>
      <c r="C24" s="1" t="n">
        <v>45963</v>
      </c>
      <c r="D24" t="inlineStr">
        <is>
          <t>NORRBOTTENS LÄN</t>
        </is>
      </c>
      <c r="E24" t="inlineStr">
        <is>
          <t>ARJEPLOG</t>
        </is>
      </c>
      <c r="G24" t="n">
        <v>8.1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Blanksvart spiklav
Knottrig blåslav
Vedticka</t>
        </is>
      </c>
      <c r="S24">
        <f>HYPERLINK("https://klasma.github.io/Logging_2506/artfynd/A 26143-2024 artfynd.xlsx", "A 26143-2024")</f>
        <v/>
      </c>
      <c r="T24">
        <f>HYPERLINK("https://klasma.github.io/Logging_2506/kartor/A 26143-2024 karta.png", "A 26143-2024")</f>
        <v/>
      </c>
      <c r="V24">
        <f>HYPERLINK("https://klasma.github.io/Logging_2506/klagomål/A 26143-2024 FSC-klagomål.docx", "A 26143-2024")</f>
        <v/>
      </c>
      <c r="W24">
        <f>HYPERLINK("https://klasma.github.io/Logging_2506/klagomålsmail/A 26143-2024 FSC-klagomål mail.docx", "A 26143-2024")</f>
        <v/>
      </c>
      <c r="X24">
        <f>HYPERLINK("https://klasma.github.io/Logging_2506/tillsyn/A 26143-2024 tillsynsbegäran.docx", "A 26143-2024")</f>
        <v/>
      </c>
      <c r="Y24">
        <f>HYPERLINK("https://klasma.github.io/Logging_2506/tillsynsmail/A 26143-2024 tillsynsbegäran mail.docx", "A 26143-2024")</f>
        <v/>
      </c>
    </row>
    <row r="25" ht="15" customHeight="1">
      <c r="A25" t="inlineStr">
        <is>
          <t>A 45031-2023</t>
        </is>
      </c>
      <c r="B25" s="1" t="n">
        <v>45190</v>
      </c>
      <c r="C25" s="1" t="n">
        <v>45963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10.3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Granticka</t>
        </is>
      </c>
      <c r="S25">
        <f>HYPERLINK("https://klasma.github.io/Logging_2506/artfynd/A 45031-2023 artfynd.xlsx", "A 45031-2023")</f>
        <v/>
      </c>
      <c r="T25">
        <f>HYPERLINK("https://klasma.github.io/Logging_2506/kartor/A 45031-2023 karta.png", "A 45031-2023")</f>
        <v/>
      </c>
      <c r="V25">
        <f>HYPERLINK("https://klasma.github.io/Logging_2506/klagomål/A 45031-2023 FSC-klagomål.docx", "A 45031-2023")</f>
        <v/>
      </c>
      <c r="W25">
        <f>HYPERLINK("https://klasma.github.io/Logging_2506/klagomålsmail/A 45031-2023 FSC-klagomål mail.docx", "A 45031-2023")</f>
        <v/>
      </c>
      <c r="X25">
        <f>HYPERLINK("https://klasma.github.io/Logging_2506/tillsyn/A 45031-2023 tillsynsbegäran.docx", "A 45031-2023")</f>
        <v/>
      </c>
      <c r="Y25">
        <f>HYPERLINK("https://klasma.github.io/Logging_2506/tillsynsmail/A 45031-2023 tillsynsbegäran mail.docx", "A 45031-2023")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45963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45963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45963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45963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45963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45963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45963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45963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45963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45963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45963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45963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45963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45963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45963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45963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45963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45963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58879-2021</t>
        </is>
      </c>
      <c r="B52" s="1" t="n">
        <v>44489</v>
      </c>
      <c r="C52" s="1" t="n">
        <v>45963</v>
      </c>
      <c r="D52" t="inlineStr">
        <is>
          <t>NORRBOTTENS LÄN</t>
        </is>
      </c>
      <c r="E52" t="inlineStr">
        <is>
          <t>ARJEPLOG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45963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45963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64837-2023</t>
        </is>
      </c>
      <c r="B55" s="1" t="n">
        <v>45281</v>
      </c>
      <c r="C55" s="1" t="n">
        <v>45963</v>
      </c>
      <c r="D55" t="inlineStr">
        <is>
          <t>NORRBOTTENS LÄN</t>
        </is>
      </c>
      <c r="E55" t="inlineStr">
        <is>
          <t>ARJEPLOG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64840-2023</t>
        </is>
      </c>
      <c r="B56" s="1" t="n">
        <v>45281</v>
      </c>
      <c r="C56" s="1" t="n">
        <v>45963</v>
      </c>
      <c r="D56" t="inlineStr">
        <is>
          <t>NORRBOTTENS LÄN</t>
        </is>
      </c>
      <c r="E56" t="inlineStr">
        <is>
          <t>ARJEPLOG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53822-2024</t>
        </is>
      </c>
      <c r="B57" s="1" t="n">
        <v>45614</v>
      </c>
      <c r="C57" s="1" t="n">
        <v>45963</v>
      </c>
      <c r="D57" t="inlineStr">
        <is>
          <t>NORRBOTTENS LÄN</t>
        </is>
      </c>
      <c r="E57" t="inlineStr">
        <is>
          <t>ARJEPLOG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41061-2024</t>
        </is>
      </c>
      <c r="B58" s="1" t="n">
        <v>45558</v>
      </c>
      <c r="C58" s="1" t="n">
        <v>45963</v>
      </c>
      <c r="D58" t="inlineStr">
        <is>
          <t>NORRBOTTENS LÄN</t>
        </is>
      </c>
      <c r="E58" t="inlineStr">
        <is>
          <t>ARJEPLOG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25270-2023</t>
        </is>
      </c>
      <c r="B59" s="1" t="n">
        <v>45079</v>
      </c>
      <c r="C59" s="1" t="n">
        <v>45963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56785-2024</t>
        </is>
      </c>
      <c r="B60" s="1" t="n">
        <v>45625</v>
      </c>
      <c r="C60" s="1" t="n">
        <v>45963</v>
      </c>
      <c r="D60" t="inlineStr">
        <is>
          <t>NORRBOTTENS LÄN</t>
        </is>
      </c>
      <c r="E60" t="inlineStr">
        <is>
          <t>ARJEPLOG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64816-2023</t>
        </is>
      </c>
      <c r="B61" s="1" t="n">
        <v>45281</v>
      </c>
      <c r="C61" s="1" t="n">
        <v>45963</v>
      </c>
      <c r="D61" t="inlineStr">
        <is>
          <t>NORRBOTTENS LÄN</t>
        </is>
      </c>
      <c r="E61" t="inlineStr">
        <is>
          <t>ARJEPLOG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25239-2023</t>
        </is>
      </c>
      <c r="B62" s="1" t="n">
        <v>45079</v>
      </c>
      <c r="C62" s="1" t="n">
        <v>45963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14375-2021</t>
        </is>
      </c>
      <c r="B63" s="1" t="n">
        <v>44279</v>
      </c>
      <c r="C63" s="1" t="n">
        <v>45963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60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28354-2022</t>
        </is>
      </c>
      <c r="B64" s="1" t="n">
        <v>44735</v>
      </c>
      <c r="C64" s="1" t="n">
        <v>45963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46910-2024</t>
        </is>
      </c>
      <c r="B65" s="1" t="n">
        <v>45583</v>
      </c>
      <c r="C65" s="1" t="n">
        <v>45963</v>
      </c>
      <c r="D65" t="inlineStr">
        <is>
          <t>NORRBOTTENS LÄN</t>
        </is>
      </c>
      <c r="E65" t="inlineStr">
        <is>
          <t>ARJEPLOG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56800-2024</t>
        </is>
      </c>
      <c r="B66" s="1" t="n">
        <v>45625</v>
      </c>
      <c r="C66" s="1" t="n">
        <v>45963</v>
      </c>
      <c r="D66" t="inlineStr">
        <is>
          <t>NORRBOTTENS LÄN</t>
        </is>
      </c>
      <c r="E66" t="inlineStr">
        <is>
          <t>ARJEPLOG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55266-2024</t>
        </is>
      </c>
      <c r="B67" s="1" t="n">
        <v>45621</v>
      </c>
      <c r="C67" s="1" t="n">
        <v>45963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55124-2024</t>
        </is>
      </c>
      <c r="B68" s="1" t="n">
        <v>45618</v>
      </c>
      <c r="C68" s="1" t="n">
        <v>45963</v>
      </c>
      <c r="D68" t="inlineStr">
        <is>
          <t>NORRBOTTENS LÄN</t>
        </is>
      </c>
      <c r="E68" t="inlineStr">
        <is>
          <t>ARJEPLOG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45963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45963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73880-2021</t>
        </is>
      </c>
      <c r="B71" s="1" t="n">
        <v>44552</v>
      </c>
      <c r="C71" s="1" t="n">
        <v>45963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26472-2024</t>
        </is>
      </c>
      <c r="B72" s="1" t="n">
        <v>45469</v>
      </c>
      <c r="C72" s="1" t="n">
        <v>45963</v>
      </c>
      <c r="D72" t="inlineStr">
        <is>
          <t>NORRBOTTENS LÄN</t>
        </is>
      </c>
      <c r="E72" t="inlineStr">
        <is>
          <t>ARJEPLOG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26486-2024</t>
        </is>
      </c>
      <c r="B73" s="1" t="n">
        <v>45469</v>
      </c>
      <c r="C73" s="1" t="n">
        <v>45963</v>
      </c>
      <c r="D73" t="inlineStr">
        <is>
          <t>NORRBOTTENS LÄN</t>
        </is>
      </c>
      <c r="E73" t="inlineStr">
        <is>
          <t>ARJEPLOG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45963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56794-2024</t>
        </is>
      </c>
      <c r="B75" s="1" t="n">
        <v>45625</v>
      </c>
      <c r="C75" s="1" t="n">
        <v>45963</v>
      </c>
      <c r="D75" t="inlineStr">
        <is>
          <t>NORRBOTTENS LÄN</t>
        </is>
      </c>
      <c r="E75" t="inlineStr">
        <is>
          <t>ARJEPLOG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56782-2024</t>
        </is>
      </c>
      <c r="B76" s="1" t="n">
        <v>45625</v>
      </c>
      <c r="C76" s="1" t="n">
        <v>45963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44218-2023</t>
        </is>
      </c>
      <c r="B77" s="1" t="n">
        <v>45183</v>
      </c>
      <c r="C77" s="1" t="n">
        <v>45963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42274-2022</t>
        </is>
      </c>
      <c r="B78" s="1" t="n">
        <v>44830</v>
      </c>
      <c r="C78" s="1" t="n">
        <v>45963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45963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56754-2024</t>
        </is>
      </c>
      <c r="B80" s="1" t="n">
        <v>45625</v>
      </c>
      <c r="C80" s="1" t="n">
        <v>45963</v>
      </c>
      <c r="D80" t="inlineStr">
        <is>
          <t>NORRBOTTENS LÄN</t>
        </is>
      </c>
      <c r="E80" t="inlineStr">
        <is>
          <t>ARJEPLOG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30870-2023</t>
        </is>
      </c>
      <c r="B81" s="1" t="n">
        <v>45113</v>
      </c>
      <c r="C81" s="1" t="n">
        <v>45963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58370-2023</t>
        </is>
      </c>
      <c r="B82" s="1" t="n">
        <v>45250</v>
      </c>
      <c r="C82" s="1" t="n">
        <v>45963</v>
      </c>
      <c r="D82" t="inlineStr">
        <is>
          <t>NORRBOTTENS LÄN</t>
        </is>
      </c>
      <c r="E82" t="inlineStr">
        <is>
          <t>ARJEPLOG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61729-2024</t>
        </is>
      </c>
      <c r="B83" s="1" t="n">
        <v>45649</v>
      </c>
      <c r="C83" s="1" t="n">
        <v>45963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56276-2021</t>
        </is>
      </c>
      <c r="B84" s="1" t="n">
        <v>44479</v>
      </c>
      <c r="C84" s="1" t="n">
        <v>45963</v>
      </c>
      <c r="D84" t="inlineStr">
        <is>
          <t>NORRBOTTENS LÄN</t>
        </is>
      </c>
      <c r="E84" t="inlineStr">
        <is>
          <t>ARJEPLOG</t>
        </is>
      </c>
      <c r="G84" t="n">
        <v>19.8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64822-2023</t>
        </is>
      </c>
      <c r="B85" s="1" t="n">
        <v>45281</v>
      </c>
      <c r="C85" s="1" t="n">
        <v>45963</v>
      </c>
      <c r="D85" t="inlineStr">
        <is>
          <t>NORRBOTTENS LÄN</t>
        </is>
      </c>
      <c r="E85" t="inlineStr">
        <is>
          <t>ARJEPLOG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26811-2022</t>
        </is>
      </c>
      <c r="B86" s="1" t="n">
        <v>44735</v>
      </c>
      <c r="C86" s="1" t="n">
        <v>45963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13119-2025</t>
        </is>
      </c>
      <c r="B87" s="1" t="n">
        <v>45734</v>
      </c>
      <c r="C87" s="1" t="n">
        <v>45963</v>
      </c>
      <c r="D87" t="inlineStr">
        <is>
          <t>NORRBOTTENS LÄN</t>
        </is>
      </c>
      <c r="E87" t="inlineStr">
        <is>
          <t>ARJEPLOG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45963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29649-2024</t>
        </is>
      </c>
      <c r="B89" s="1" t="n">
        <v>45484</v>
      </c>
      <c r="C89" s="1" t="n">
        <v>45963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17536-2023</t>
        </is>
      </c>
      <c r="B90" s="1" t="n">
        <v>45034</v>
      </c>
      <c r="C90" s="1" t="n">
        <v>45963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3006-2024</t>
        </is>
      </c>
      <c r="B91" s="1" t="n">
        <v>45315</v>
      </c>
      <c r="C91" s="1" t="n">
        <v>45963</v>
      </c>
      <c r="D91" t="inlineStr">
        <is>
          <t>NORRBOTTENS LÄN</t>
        </is>
      </c>
      <c r="E91" t="inlineStr">
        <is>
          <t>ARJEPLOG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45924-2023</t>
        </is>
      </c>
      <c r="B92" s="1" t="n">
        <v>45189</v>
      </c>
      <c r="C92" s="1" t="n">
        <v>45963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45963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526-2025</t>
        </is>
      </c>
      <c r="B94" s="1" t="n">
        <v>45664</v>
      </c>
      <c r="C94" s="1" t="n">
        <v>45963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25928-2024</t>
        </is>
      </c>
      <c r="B95" s="1" t="n">
        <v>45467</v>
      </c>
      <c r="C95" s="1" t="n">
        <v>45963</v>
      </c>
      <c r="D95" t="inlineStr">
        <is>
          <t>NORRBOTTENS LÄN</t>
        </is>
      </c>
      <c r="E95" t="inlineStr">
        <is>
          <t>ARJEPLOG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23949-2024</t>
        </is>
      </c>
      <c r="B96" s="1" t="n">
        <v>45455</v>
      </c>
      <c r="C96" s="1" t="n">
        <v>45963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45963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43045-2022</t>
        </is>
      </c>
      <c r="B98" s="1" t="n">
        <v>44833</v>
      </c>
      <c r="C98" s="1" t="n">
        <v>45963</v>
      </c>
      <c r="D98" t="inlineStr">
        <is>
          <t>NORRBOTTENS LÄN</t>
        </is>
      </c>
      <c r="E98" t="inlineStr">
        <is>
          <t>ARJEPLOG</t>
        </is>
      </c>
      <c r="G98" t="n">
        <v>24.6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64809-2023</t>
        </is>
      </c>
      <c r="B99" s="1" t="n">
        <v>45281</v>
      </c>
      <c r="C99" s="1" t="n">
        <v>45963</v>
      </c>
      <c r="D99" t="inlineStr">
        <is>
          <t>NORRBOTTENS LÄN</t>
        </is>
      </c>
      <c r="E99" t="inlineStr">
        <is>
          <t>ARJEPLOG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64826-2023</t>
        </is>
      </c>
      <c r="B100" s="1" t="n">
        <v>45281</v>
      </c>
      <c r="C100" s="1" t="n">
        <v>45963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45963</v>
      </c>
      <c r="D101" t="inlineStr">
        <is>
          <t>NORRBOTTENS LÄN</t>
        </is>
      </c>
      <c r="E101" t="inlineStr">
        <is>
          <t>ARJEPLOG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46585-2021</t>
        </is>
      </c>
      <c r="B102" s="1" t="n">
        <v>44445</v>
      </c>
      <c r="C102" s="1" t="n">
        <v>45963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26470-2024</t>
        </is>
      </c>
      <c r="B103" s="1" t="n">
        <v>45468</v>
      </c>
      <c r="C103" s="1" t="n">
        <v>45963</v>
      </c>
      <c r="D103" t="inlineStr">
        <is>
          <t>NORRBOTTENS LÄN</t>
        </is>
      </c>
      <c r="E103" t="inlineStr">
        <is>
          <t>ARJEPLOG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48376-2023</t>
        </is>
      </c>
      <c r="B104" s="1" t="n">
        <v>45205</v>
      </c>
      <c r="C104" s="1" t="n">
        <v>45963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Aktiebolag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45963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45963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29667-2025</t>
        </is>
      </c>
      <c r="B107" s="1" t="n">
        <v>45825</v>
      </c>
      <c r="C107" s="1" t="n">
        <v>45963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26103-2024</t>
        </is>
      </c>
      <c r="B108" s="1" t="n">
        <v>45467</v>
      </c>
      <c r="C108" s="1" t="n">
        <v>45963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45963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45730.48715277778</v>
      </c>
      <c r="C110" s="1" t="n">
        <v>45963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45963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64832-2023</t>
        </is>
      </c>
      <c r="B112" s="1" t="n">
        <v>45281</v>
      </c>
      <c r="C112" s="1" t="n">
        <v>45963</v>
      </c>
      <c r="D112" t="inlineStr">
        <is>
          <t>NORRBOTTENS LÄN</t>
        </is>
      </c>
      <c r="E112" t="inlineStr">
        <is>
          <t>ARJEPLOG</t>
        </is>
      </c>
      <c r="G112" t="n">
        <v>43.6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31104-2025</t>
        </is>
      </c>
      <c r="B113" s="1" t="n">
        <v>45832.60090277778</v>
      </c>
      <c r="C113" s="1" t="n">
        <v>45963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25559-2022</t>
        </is>
      </c>
      <c r="B114" s="1" t="n">
        <v>44732</v>
      </c>
      <c r="C114" s="1" t="n">
        <v>45963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39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20789-2022</t>
        </is>
      </c>
      <c r="B115" s="1" t="n">
        <v>44701</v>
      </c>
      <c r="C115" s="1" t="n">
        <v>45963</v>
      </c>
      <c r="D115" t="inlineStr">
        <is>
          <t>NORRBOTTENS LÄN</t>
        </is>
      </c>
      <c r="E115" t="inlineStr">
        <is>
          <t>ARJEPLOG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45963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12409-2025</t>
        </is>
      </c>
      <c r="B117" s="1" t="n">
        <v>45730.43366898148</v>
      </c>
      <c r="C117" s="1" t="n">
        <v>45963</v>
      </c>
      <c r="D117" t="inlineStr">
        <is>
          <t>NORRBOTTENS LÄN</t>
        </is>
      </c>
      <c r="E117" t="inlineStr">
        <is>
          <t>ARJEPLOG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26773-2022</t>
        </is>
      </c>
      <c r="B118" s="1" t="n">
        <v>44732</v>
      </c>
      <c r="C118" s="1" t="n">
        <v>45963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34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30617-2025</t>
        </is>
      </c>
      <c r="B119" s="1" t="n">
        <v>45831</v>
      </c>
      <c r="C119" s="1" t="n">
        <v>45963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30595-2025</t>
        </is>
      </c>
      <c r="B120" s="1" t="n">
        <v>45831</v>
      </c>
      <c r="C120" s="1" t="n">
        <v>45963</v>
      </c>
      <c r="D120" t="inlineStr">
        <is>
          <t>NORRBOTTENS LÄN</t>
        </is>
      </c>
      <c r="E120" t="inlineStr">
        <is>
          <t>ARJEPLOG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30606-2025</t>
        </is>
      </c>
      <c r="B121" s="1" t="n">
        <v>45831</v>
      </c>
      <c r="C121" s="1" t="n">
        <v>45963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70.40000000000001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29674-2025</t>
        </is>
      </c>
      <c r="B122" s="1" t="n">
        <v>45825</v>
      </c>
      <c r="C122" s="1" t="n">
        <v>45963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29662-2025</t>
        </is>
      </c>
      <c r="B123" s="1" t="n">
        <v>45825</v>
      </c>
      <c r="C123" s="1" t="n">
        <v>45963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38851-2025</t>
        </is>
      </c>
      <c r="B124" s="1" t="n">
        <v>45887.55271990741</v>
      </c>
      <c r="C124" s="1" t="n">
        <v>45963</v>
      </c>
      <c r="D124" t="inlineStr">
        <is>
          <t>NORRBOTTENS LÄN</t>
        </is>
      </c>
      <c r="E124" t="inlineStr">
        <is>
          <t>ARJEPLOG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45963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45963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61272-2020</t>
        </is>
      </c>
      <c r="B127" s="1" t="n">
        <v>44154</v>
      </c>
      <c r="C127" s="1" t="n">
        <v>45963</v>
      </c>
      <c r="D127" t="inlineStr">
        <is>
          <t>NORRBOTTENS LÄN</t>
        </is>
      </c>
      <c r="E127" t="inlineStr">
        <is>
          <t>ARJEPLOG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46747-2025</t>
        </is>
      </c>
      <c r="B128" s="1" t="n">
        <v>45926</v>
      </c>
      <c r="C128" s="1" t="n">
        <v>45963</v>
      </c>
      <c r="D128" t="inlineStr">
        <is>
          <t>NORRBOTTENS LÄN</t>
        </is>
      </c>
      <c r="E128" t="inlineStr">
        <is>
          <t>ARJEPLOG</t>
        </is>
      </c>
      <c r="G128" t="n">
        <v>19.7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35194-2024</t>
        </is>
      </c>
      <c r="B129" s="1" t="n">
        <v>45530</v>
      </c>
      <c r="C129" s="1" t="n">
        <v>45963</v>
      </c>
      <c r="D129" t="inlineStr">
        <is>
          <t>NORRBOTTENS LÄN</t>
        </is>
      </c>
      <c r="E129" t="inlineStr">
        <is>
          <t>ARJEPLOG</t>
        </is>
      </c>
      <c r="G129" t="n">
        <v>20.1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48992-2025</t>
        </is>
      </c>
      <c r="B130" s="1" t="n">
        <v>45937.58351851852</v>
      </c>
      <c r="C130" s="1" t="n">
        <v>45963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48987-2025</t>
        </is>
      </c>
      <c r="B131" s="1" t="n">
        <v>45937.5759837963</v>
      </c>
      <c r="C131" s="1" t="n">
        <v>45963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35627-2025</t>
        </is>
      </c>
      <c r="B132" s="1" t="n">
        <v>45859</v>
      </c>
      <c r="C132" s="1" t="n">
        <v>45963</v>
      </c>
      <c r="D132" t="inlineStr">
        <is>
          <t>NORRBOTTENS LÄN</t>
        </is>
      </c>
      <c r="E132" t="inlineStr">
        <is>
          <t>ARJEPLOG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36623-2023</t>
        </is>
      </c>
      <c r="B133" s="1" t="n">
        <v>45153</v>
      </c>
      <c r="C133" s="1" t="n">
        <v>45963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16.9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50255-2023</t>
        </is>
      </c>
      <c r="B134" s="1" t="n">
        <v>45216</v>
      </c>
      <c r="C134" s="1" t="n">
        <v>45963</v>
      </c>
      <c r="D134" t="inlineStr">
        <is>
          <t>NORRBOTTENS LÄN</t>
        </is>
      </c>
      <c r="E134" t="inlineStr">
        <is>
          <t>ARJEPLOG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58989-2024</t>
        </is>
      </c>
      <c r="B135" s="1" t="n">
        <v>45636</v>
      </c>
      <c r="C135" s="1" t="n">
        <v>45963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42518-2025</t>
        </is>
      </c>
      <c r="B136" s="1" t="n">
        <v>45905</v>
      </c>
      <c r="C136" s="1" t="n">
        <v>45963</v>
      </c>
      <c r="D136" t="inlineStr">
        <is>
          <t>NORRBOTTENS LÄN</t>
        </is>
      </c>
      <c r="E136" t="inlineStr">
        <is>
          <t>ARJEPLOG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42325-2025</t>
        </is>
      </c>
      <c r="B137" s="1" t="n">
        <v>45903</v>
      </c>
      <c r="C137" s="1" t="n">
        <v>45963</v>
      </c>
      <c r="D137" t="inlineStr">
        <is>
          <t>NORRBOTTENS LÄN</t>
        </is>
      </c>
      <c r="E137" t="inlineStr">
        <is>
          <t>ARJEPLOG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42331-2025</t>
        </is>
      </c>
      <c r="B138" s="1" t="n">
        <v>45903</v>
      </c>
      <c r="C138" s="1" t="n">
        <v>45963</v>
      </c>
      <c r="D138" t="inlineStr">
        <is>
          <t>NORRBOTTENS LÄN</t>
        </is>
      </c>
      <c r="E138" t="inlineStr">
        <is>
          <t>ARJEPLOG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42597-2025</t>
        </is>
      </c>
      <c r="B139" s="1" t="n">
        <v>45905</v>
      </c>
      <c r="C139" s="1" t="n">
        <v>45963</v>
      </c>
      <c r="D139" t="inlineStr">
        <is>
          <t>NORRBOTTENS LÄN</t>
        </is>
      </c>
      <c r="E139" t="inlineStr">
        <is>
          <t>ARJEPLOG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42526-2025</t>
        </is>
      </c>
      <c r="B140" s="1" t="n">
        <v>45905</v>
      </c>
      <c r="C140" s="1" t="n">
        <v>45963</v>
      </c>
      <c r="D140" t="inlineStr">
        <is>
          <t>NORRBOTTENS LÄN</t>
        </is>
      </c>
      <c r="E140" t="inlineStr">
        <is>
          <t>ARJEPLOG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53246-2025</t>
        </is>
      </c>
      <c r="B141" s="1" t="n">
        <v>45958.64807870371</v>
      </c>
      <c r="C141" s="1" t="n">
        <v>45963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44943-2025</t>
        </is>
      </c>
      <c r="B142" s="1" t="n">
        <v>45918</v>
      </c>
      <c r="C142" s="1" t="n">
        <v>45963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2025-11-02T10:02:30Z</dcterms:created>
  <dcterms:modified xmlns:dcterms="http://purl.org/dc/terms/" xmlns:xsi="http://www.w3.org/2001/XMLSchema-instance" xsi:type="dcterms:W3CDTF">2025-11-02T10:02:30Z</dcterms:modified>
</cp:coreProperties>
</file>