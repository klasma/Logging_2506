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45916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45916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45916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1</v>
      </c>
      <c r="I4" t="n">
        <v>3</v>
      </c>
      <c r="J4" t="n">
        <v>14</v>
      </c>
      <c r="K4" t="n">
        <v>0</v>
      </c>
      <c r="L4" t="n">
        <v>0</v>
      </c>
      <c r="M4" t="n">
        <v>0</v>
      </c>
      <c r="N4" t="n">
        <v>0</v>
      </c>
      <c r="O4" t="n">
        <v>14</v>
      </c>
      <c r="P4" t="n">
        <v>0</v>
      </c>
      <c r="Q4" t="n">
        <v>18</v>
      </c>
      <c r="R4" s="2" t="inlineStr">
        <is>
          <t>Blanksvart spiklav
Blågrå svartspik
Brunpudrad nållav
Dvärgbägarlav
Garnlav
Granticka
Gränsticka
Harticka
Kolflarnlav
Kortskaftad ärgspik
Skrovellav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34810-2021</t>
        </is>
      </c>
      <c r="B5" s="1" t="n">
        <v>44382</v>
      </c>
      <c r="C5" s="1" t="n">
        <v>45916</v>
      </c>
      <c r="D5" t="inlineStr">
        <is>
          <t>NORRBOTTENS LÄN</t>
        </is>
      </c>
      <c r="E5" t="inlineStr">
        <is>
          <t>ARJEPLOG</t>
        </is>
      </c>
      <c r="G5" t="n">
        <v>19.9</v>
      </c>
      <c r="H5" t="n">
        <v>1</v>
      </c>
      <c r="I5" t="n">
        <v>4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17</v>
      </c>
      <c r="R5" s="2" t="inlineStr">
        <is>
          <t>Fläckporing
Gräddporing
Blanksvart spiklav
Blågrå svartspik
Dvärgbägarlav
Garnlav
Granticka
Knottrig blåslav
Talltita
Ullticka
Vedflamlav
Vedskivlav
Vedtrappmossa
Dropptaggsvamp
Luddlav
Vedticka
Ögonpyrola</t>
        </is>
      </c>
      <c r="S5">
        <f>HYPERLINK("https://klasma.github.io/Logging_2506/artfynd/A 34810-2021 artfynd.xlsx", "A 34810-2021")</f>
        <v/>
      </c>
      <c r="T5">
        <f>HYPERLINK("https://klasma.github.io/Logging_2506/kartor/A 34810-2021 karta.png", "A 34810-2021")</f>
        <v/>
      </c>
      <c r="V5">
        <f>HYPERLINK("https://klasma.github.io/Logging_2506/klagomål/A 34810-2021 FSC-klagomål.docx", "A 34810-2021")</f>
        <v/>
      </c>
      <c r="W5">
        <f>HYPERLINK("https://klasma.github.io/Logging_2506/klagomålsmail/A 34810-2021 FSC-klagomål mail.docx", "A 34810-2021")</f>
        <v/>
      </c>
      <c r="X5">
        <f>HYPERLINK("https://klasma.github.io/Logging_2506/tillsyn/A 34810-2021 tillsynsbegäran.docx", "A 34810-2021")</f>
        <v/>
      </c>
      <c r="Y5">
        <f>HYPERLINK("https://klasma.github.io/Logging_2506/tillsynsmail/A 34810-2021 tillsynsbegäran mail.docx", "A 34810-2021")</f>
        <v/>
      </c>
      <c r="Z5">
        <f>HYPERLINK("https://klasma.github.io/Logging_2506/fåglar/A 34810-2021 prioriterade fågelarter.docx", "A 34810-2021")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45916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45916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45916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45916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45916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45916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60734-2020</t>
        </is>
      </c>
      <c r="B12" s="1" t="n">
        <v>44153</v>
      </c>
      <c r="C12" s="1" t="n">
        <v>45916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30.4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Ostticka
Garnlav
Granticka
Gränsticka
Harticka
Rosenticka
Tretåig hackspett
Ullticka</t>
        </is>
      </c>
      <c r="S12">
        <f>HYPERLINK("https://klasma.github.io/Logging_2506/artfynd/A 60734-2020 artfynd.xlsx", "A 60734-2020")</f>
        <v/>
      </c>
      <c r="T12">
        <f>HYPERLINK("https://klasma.github.io/Logging_2506/kartor/A 60734-2020 karta.png", "A 60734-2020")</f>
        <v/>
      </c>
      <c r="V12">
        <f>HYPERLINK("https://klasma.github.io/Logging_2506/klagomål/A 60734-2020 FSC-klagomål.docx", "A 60734-2020")</f>
        <v/>
      </c>
      <c r="W12">
        <f>HYPERLINK("https://klasma.github.io/Logging_2506/klagomålsmail/A 60734-2020 FSC-klagomål mail.docx", "A 60734-2020")</f>
        <v/>
      </c>
      <c r="X12">
        <f>HYPERLINK("https://klasma.github.io/Logging_2506/tillsyn/A 60734-2020 tillsynsbegäran.docx", "A 60734-2020")</f>
        <v/>
      </c>
      <c r="Y12">
        <f>HYPERLINK("https://klasma.github.io/Logging_2506/tillsynsmail/A 60734-2020 tillsynsbegäran mail.docx", "A 60734-2020")</f>
        <v/>
      </c>
      <c r="Z12">
        <f>HYPERLINK("https://klasma.github.io/Logging_2506/fåglar/A 60734-2020 prioriterade fågelarter.docx", "A 60734-2020")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45916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403-2024</t>
        </is>
      </c>
      <c r="B14" s="1" t="n">
        <v>45296</v>
      </c>
      <c r="C14" s="1" t="n">
        <v>45916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218.7</v>
      </c>
      <c r="H14" t="n">
        <v>1</v>
      </c>
      <c r="I14" t="n">
        <v>0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8</v>
      </c>
      <c r="R14" s="2" t="inlineStr">
        <is>
          <t>Ostticka
Rynkskinn
Garnlav
Granticka
Harticka
Rosenticka
Tretåig hackspett
Ullticka</t>
        </is>
      </c>
      <c r="S14">
        <f>HYPERLINK("https://klasma.github.io/Logging_2506/artfynd/A 403-2024 artfynd.xlsx", "A 403-2024")</f>
        <v/>
      </c>
      <c r="T14">
        <f>HYPERLINK("https://klasma.github.io/Logging_2506/kartor/A 403-2024 karta.png", "A 403-2024")</f>
        <v/>
      </c>
      <c r="V14">
        <f>HYPERLINK("https://klasma.github.io/Logging_2506/klagomål/A 403-2024 FSC-klagomål.docx", "A 403-2024")</f>
        <v/>
      </c>
      <c r="W14">
        <f>HYPERLINK("https://klasma.github.io/Logging_2506/klagomålsmail/A 403-2024 FSC-klagomål mail.docx", "A 403-2024")</f>
        <v/>
      </c>
      <c r="X14">
        <f>HYPERLINK("https://klasma.github.io/Logging_2506/tillsyn/A 403-2024 tillsynsbegäran.docx", "A 403-2024")</f>
        <v/>
      </c>
      <c r="Y14">
        <f>HYPERLINK("https://klasma.github.io/Logging_2506/tillsynsmail/A 403-2024 tillsynsbegäran mail.docx", "A 403-2024")</f>
        <v/>
      </c>
      <c r="Z14">
        <f>HYPERLINK("https://klasma.github.io/Logging_2506/fåglar/A 403-2024 prioriterade fågelarter.docx", "A 403-2024")</f>
        <v/>
      </c>
    </row>
    <row r="15" ht="15" customHeight="1">
      <c r="A15" t="inlineStr">
        <is>
          <t>A 4544-2024</t>
        </is>
      </c>
      <c r="B15" s="1" t="n">
        <v>45327</v>
      </c>
      <c r="C15" s="1" t="n">
        <v>45916</v>
      </c>
      <c r="D15" t="inlineStr">
        <is>
          <t>NORRBOTTENS LÄN</t>
        </is>
      </c>
      <c r="E15" t="inlineStr">
        <is>
          <t>ARJEPLOG</t>
        </is>
      </c>
      <c r="G15" t="n">
        <v>6</v>
      </c>
      <c r="H15" t="n">
        <v>0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Rynkskinn
Garnlav
Granticka
Knottrig blåslav
Rosenticka
Ullticka
Blodticka</t>
        </is>
      </c>
      <c r="S15">
        <f>HYPERLINK("https://klasma.github.io/Logging_2506/artfynd/A 4544-2024 artfynd.xlsx", "A 4544-2024")</f>
        <v/>
      </c>
      <c r="T15">
        <f>HYPERLINK("https://klasma.github.io/Logging_2506/kartor/A 4544-2024 karta.png", "A 4544-2024")</f>
        <v/>
      </c>
      <c r="V15">
        <f>HYPERLINK("https://klasma.github.io/Logging_2506/klagomål/A 4544-2024 FSC-klagomål.docx", "A 4544-2024")</f>
        <v/>
      </c>
      <c r="W15">
        <f>HYPERLINK("https://klasma.github.io/Logging_2506/klagomålsmail/A 4544-2024 FSC-klagomål mail.docx", "A 4544-2024")</f>
        <v/>
      </c>
      <c r="X15">
        <f>HYPERLINK("https://klasma.github.io/Logging_2506/tillsyn/A 4544-2024 tillsynsbegäran.docx", "A 4544-2024")</f>
        <v/>
      </c>
      <c r="Y15">
        <f>HYPERLINK("https://klasma.github.io/Logging_2506/tillsynsmail/A 4544-2024 tillsynsbegäran mail.docx", "A 4544-2024")</f>
        <v/>
      </c>
    </row>
    <row r="16" ht="15" customHeight="1">
      <c r="A16" t="inlineStr">
        <is>
          <t>A 59199-2021</t>
        </is>
      </c>
      <c r="B16" s="1" t="n">
        <v>44490</v>
      </c>
      <c r="C16" s="1" t="n">
        <v>45916</v>
      </c>
      <c r="D16" t="inlineStr">
        <is>
          <t>NORRBOTTENS LÄN</t>
        </is>
      </c>
      <c r="E16" t="inlineStr">
        <is>
          <t>ARJEPLOG</t>
        </is>
      </c>
      <c r="G16" t="n">
        <v>16.2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Rynkskinn
Gammelgransskål
Granticka
Gränsticka
Rosenticka
Ullticka</t>
        </is>
      </c>
      <c r="S16">
        <f>HYPERLINK("https://klasma.github.io/Logging_2506/artfynd/A 59199-2021 artfynd.xlsx", "A 59199-2021")</f>
        <v/>
      </c>
      <c r="T16">
        <f>HYPERLINK("https://klasma.github.io/Logging_2506/kartor/A 59199-2021 karta.png", "A 59199-2021")</f>
        <v/>
      </c>
      <c r="V16">
        <f>HYPERLINK("https://klasma.github.io/Logging_2506/klagomål/A 59199-2021 FSC-klagomål.docx", "A 59199-2021")</f>
        <v/>
      </c>
      <c r="W16">
        <f>HYPERLINK("https://klasma.github.io/Logging_2506/klagomålsmail/A 59199-2021 FSC-klagomål mail.docx", "A 59199-2021")</f>
        <v/>
      </c>
      <c r="X16">
        <f>HYPERLINK("https://klasma.github.io/Logging_2506/tillsyn/A 59199-2021 tillsynsbegäran.docx", "A 59199-2021")</f>
        <v/>
      </c>
      <c r="Y16">
        <f>HYPERLINK("https://klasma.github.io/Logging_2506/tillsynsmail/A 59199-2021 tillsynsbegäran mail.docx", "A 59199-2021")</f>
        <v/>
      </c>
    </row>
    <row r="17" ht="15" customHeight="1">
      <c r="A17" t="inlineStr">
        <is>
          <t>A 25229-2023</t>
        </is>
      </c>
      <c r="B17" s="1" t="n">
        <v>45079</v>
      </c>
      <c r="C17" s="1" t="n">
        <v>45916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18.2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Gammelgransskål
Granticka
Rosenticka
Rödbrun blekspik
Tretåig hackspett</t>
        </is>
      </c>
      <c r="S17">
        <f>HYPERLINK("https://klasma.github.io/Logging_2506/artfynd/A 25229-2023 artfynd.xlsx", "A 25229-2023")</f>
        <v/>
      </c>
      <c r="T17">
        <f>HYPERLINK("https://klasma.github.io/Logging_2506/kartor/A 25229-2023 karta.png", "A 25229-2023")</f>
        <v/>
      </c>
      <c r="V17">
        <f>HYPERLINK("https://klasma.github.io/Logging_2506/klagomål/A 25229-2023 FSC-klagomål.docx", "A 25229-2023")</f>
        <v/>
      </c>
      <c r="W17">
        <f>HYPERLINK("https://klasma.github.io/Logging_2506/klagomålsmail/A 25229-2023 FSC-klagomål mail.docx", "A 25229-2023")</f>
        <v/>
      </c>
      <c r="X17">
        <f>HYPERLINK("https://klasma.github.io/Logging_2506/tillsyn/A 25229-2023 tillsynsbegäran.docx", "A 25229-2023")</f>
        <v/>
      </c>
      <c r="Y17">
        <f>HYPERLINK("https://klasma.github.io/Logging_2506/tillsynsmail/A 25229-2023 tillsynsbegäran mail.docx", "A 25229-2023")</f>
        <v/>
      </c>
      <c r="Z17">
        <f>HYPERLINK("https://klasma.github.io/Logging_2506/fåglar/A 25229-2023 prioriterade fågelarter.docx", "A 25229-2023")</f>
        <v/>
      </c>
    </row>
    <row r="18" ht="15" customHeight="1">
      <c r="A18" t="inlineStr">
        <is>
          <t>A 47035-2022</t>
        </is>
      </c>
      <c r="B18" s="1" t="n">
        <v>44851</v>
      </c>
      <c r="C18" s="1" t="n">
        <v>45916</v>
      </c>
      <c r="D18" t="inlineStr">
        <is>
          <t>NORRBOTTENS LÄN</t>
        </is>
      </c>
      <c r="E18" t="inlineStr">
        <is>
          <t>ARJEPLOG</t>
        </is>
      </c>
      <c r="F18" t="inlineStr">
        <is>
          <t>Övriga statliga verk och myndigheter</t>
        </is>
      </c>
      <c r="G18" t="n">
        <v>15.9</v>
      </c>
      <c r="H18" t="n">
        <v>3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Månlåsbräken
Grönkulla
Spindelblomster
Tibast
Brudsporre</t>
        </is>
      </c>
      <c r="S18">
        <f>HYPERLINK("https://klasma.github.io/Logging_2506/artfynd/A 47035-2022 artfynd.xlsx", "A 47035-2022")</f>
        <v/>
      </c>
      <c r="T18">
        <f>HYPERLINK("https://klasma.github.io/Logging_2506/kartor/A 47035-2022 karta.png", "A 47035-2022")</f>
        <v/>
      </c>
      <c r="V18">
        <f>HYPERLINK("https://klasma.github.io/Logging_2506/klagomål/A 47035-2022 FSC-klagomål.docx", "A 47035-2022")</f>
        <v/>
      </c>
      <c r="W18">
        <f>HYPERLINK("https://klasma.github.io/Logging_2506/klagomålsmail/A 47035-2022 FSC-klagomål mail.docx", "A 47035-2022")</f>
        <v/>
      </c>
      <c r="X18">
        <f>HYPERLINK("https://klasma.github.io/Logging_2506/tillsyn/A 47035-2022 tillsynsbegäran.docx", "A 47035-2022")</f>
        <v/>
      </c>
      <c r="Y18">
        <f>HYPERLINK("https://klasma.github.io/Logging_2506/tillsynsmail/A 47035-2022 tillsynsbegäran mail.docx", "A 47035-2022")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45916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45916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45916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45916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45916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45916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45916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45916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45916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45916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45916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25279-2023</t>
        </is>
      </c>
      <c r="B30" s="1" t="n">
        <v>45079</v>
      </c>
      <c r="C30" s="1" t="n">
        <v>45916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HYPERLINK("https://klasma.github.io/Logging_2506/artfynd/A 25279-2023 artfynd.xlsx", "A 25279-2023")</f>
        <v/>
      </c>
      <c r="T30">
        <f>HYPERLINK("https://klasma.github.io/Logging_2506/kartor/A 25279-2023 karta.png", "A 25279-2023")</f>
        <v/>
      </c>
      <c r="V30">
        <f>HYPERLINK("https://klasma.github.io/Logging_2506/klagomål/A 25279-2023 FSC-klagomål.docx", "A 25279-2023")</f>
        <v/>
      </c>
      <c r="W30">
        <f>HYPERLINK("https://klasma.github.io/Logging_2506/klagomålsmail/A 25279-2023 FSC-klagomål mail.docx", "A 25279-2023")</f>
        <v/>
      </c>
      <c r="X30">
        <f>HYPERLINK("https://klasma.github.io/Logging_2506/tillsyn/A 25279-2023 tillsynsbegäran.docx", "A 25279-2023")</f>
        <v/>
      </c>
      <c r="Y30">
        <f>HYPERLINK("https://klasma.github.io/Logging_2506/tillsynsmail/A 25279-2023 tillsynsbegäran mail.docx", "A 25279-2023")</f>
        <v/>
      </c>
    </row>
    <row r="31" ht="15" customHeight="1">
      <c r="A31" t="inlineStr">
        <is>
          <t>A 41375-2024</t>
        </is>
      </c>
      <c r="B31" s="1" t="n">
        <v>45559</v>
      </c>
      <c r="C31" s="1" t="n">
        <v>45916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HYPERLINK("https://klasma.github.io/Logging_2506/artfynd/A 41375-2024 artfynd.xlsx", "A 41375-2024")</f>
        <v/>
      </c>
      <c r="T31">
        <f>HYPERLINK("https://klasma.github.io/Logging_2506/kartor/A 41375-2024 karta.png", "A 41375-2024")</f>
        <v/>
      </c>
      <c r="V31">
        <f>HYPERLINK("https://klasma.github.io/Logging_2506/klagomål/A 41375-2024 FSC-klagomål.docx", "A 41375-2024")</f>
        <v/>
      </c>
      <c r="W31">
        <f>HYPERLINK("https://klasma.github.io/Logging_2506/klagomålsmail/A 41375-2024 FSC-klagomål mail.docx", "A 41375-2024")</f>
        <v/>
      </c>
      <c r="X31">
        <f>HYPERLINK("https://klasma.github.io/Logging_2506/tillsyn/A 41375-2024 tillsynsbegäran.docx", "A 41375-2024")</f>
        <v/>
      </c>
      <c r="Y31">
        <f>HYPERLINK("https://klasma.github.io/Logging_2506/tillsynsmail/A 41375-2024 tillsynsbegäran mail.docx", "A 41375-2024")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45916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12403-2025 artfynd.xlsx", "A 12403-2025")</f>
        <v/>
      </c>
      <c r="T32">
        <f>HYPERLINK("https://klasma.github.io/Logging_2506/kartor/A 12403-2025 karta.png", "A 12403-2025")</f>
        <v/>
      </c>
      <c r="V32">
        <f>HYPERLINK("https://klasma.github.io/Logging_2506/klagomål/A 12403-2025 FSC-klagomål.docx", "A 12403-2025")</f>
        <v/>
      </c>
      <c r="W32">
        <f>HYPERLINK("https://klasma.github.io/Logging_2506/klagomålsmail/A 12403-2025 FSC-klagomål mail.docx", "A 12403-2025")</f>
        <v/>
      </c>
      <c r="X32">
        <f>HYPERLINK("https://klasma.github.io/Logging_2506/tillsyn/A 12403-2025 tillsynsbegäran.docx", "A 12403-2025")</f>
        <v/>
      </c>
      <c r="Y32">
        <f>HYPERLINK("https://klasma.github.io/Logging_2506/tillsynsmail/A 12403-2025 tillsynsbegäran mail.docx", "A 12403-2025")</f>
        <v/>
      </c>
      <c r="Z32">
        <f>HYPERLINK("https://klasma.github.io/Logging_2506/fåglar/A 12403-2025 prioriterade fågelarter.docx", "A 12403-2025")</f>
        <v/>
      </c>
    </row>
    <row r="33" ht="15" customHeight="1">
      <c r="A33" t="inlineStr">
        <is>
          <t>A 30592-2023</t>
        </is>
      </c>
      <c r="B33" s="1" t="n">
        <v>45112</v>
      </c>
      <c r="C33" s="1" t="n">
        <v>45916</v>
      </c>
      <c r="D33" t="inlineStr">
        <is>
          <t>NORRBOTTENS LÄN</t>
        </is>
      </c>
      <c r="E33" t="inlineStr">
        <is>
          <t>ARJEPLOG</t>
        </is>
      </c>
      <c r="F33" t="inlineStr">
        <is>
          <t>Allmännings- och besparingsskogar</t>
        </is>
      </c>
      <c r="G33" t="n">
        <v>19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30592-2023 artfynd.xlsx", "A 30592-2023")</f>
        <v/>
      </c>
      <c r="T33">
        <f>HYPERLINK("https://klasma.github.io/Logging_2506/kartor/A 30592-2023 karta.png", "A 30592-2023")</f>
        <v/>
      </c>
      <c r="V33">
        <f>HYPERLINK("https://klasma.github.io/Logging_2506/klagomål/A 30592-2023 FSC-klagomål.docx", "A 30592-2023")</f>
        <v/>
      </c>
      <c r="W33">
        <f>HYPERLINK("https://klasma.github.io/Logging_2506/klagomålsmail/A 30592-2023 FSC-klagomål mail.docx", "A 30592-2023")</f>
        <v/>
      </c>
      <c r="X33">
        <f>HYPERLINK("https://klasma.github.io/Logging_2506/tillsyn/A 30592-2023 tillsynsbegäran.docx", "A 30592-2023")</f>
        <v/>
      </c>
      <c r="Y33">
        <f>HYPERLINK("https://klasma.github.io/Logging_2506/tillsynsmail/A 30592-2023 tillsynsbegäran mail.docx", "A 30592-2023")</f>
        <v/>
      </c>
      <c r="Z33">
        <f>HYPERLINK("https://klasma.github.io/Logging_2506/fåglar/A 30592-2023 prioriterade fågelarter.docx", "A 30592-2023")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45916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26503-2025 artfynd.xlsx", "A 26503-2025")</f>
        <v/>
      </c>
      <c r="T34">
        <f>HYPERLINK("https://klasma.github.io/Logging_2506/kartor/A 26503-2025 karta.png", "A 26503-2025")</f>
        <v/>
      </c>
      <c r="V34">
        <f>HYPERLINK("https://klasma.github.io/Logging_2506/klagomål/A 26503-2025 FSC-klagomål.docx", "A 26503-2025")</f>
        <v/>
      </c>
      <c r="W34">
        <f>HYPERLINK("https://klasma.github.io/Logging_2506/klagomålsmail/A 26503-2025 FSC-klagomål mail.docx", "A 26503-2025")</f>
        <v/>
      </c>
      <c r="X34">
        <f>HYPERLINK("https://klasma.github.io/Logging_2506/tillsyn/A 26503-2025 tillsynsbegäran.docx", "A 26503-2025")</f>
        <v/>
      </c>
      <c r="Y34">
        <f>HYPERLINK("https://klasma.github.io/Logging_2506/tillsynsmail/A 26503-2025 tillsynsbegäran mail.docx", "A 26503-2025")</f>
        <v/>
      </c>
    </row>
    <row r="35" ht="15" customHeight="1">
      <c r="A35" t="inlineStr">
        <is>
          <t>A 18921-2025</t>
        </is>
      </c>
      <c r="B35" s="1" t="n">
        <v>45764</v>
      </c>
      <c r="C35" s="1" t="n">
        <v>45916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HYPERLINK("https://klasma.github.io/Logging_2506/artfynd/A 18921-2025 artfynd.xlsx", "A 18921-2025")</f>
        <v/>
      </c>
      <c r="T35">
        <f>HYPERLINK("https://klasma.github.io/Logging_2506/kartor/A 18921-2025 karta.png", "A 18921-2025")</f>
        <v/>
      </c>
      <c r="V35">
        <f>HYPERLINK("https://klasma.github.io/Logging_2506/klagomål/A 18921-2025 FSC-klagomål.docx", "A 18921-2025")</f>
        <v/>
      </c>
      <c r="W35">
        <f>HYPERLINK("https://klasma.github.io/Logging_2506/klagomålsmail/A 18921-2025 FSC-klagomål mail.docx", "A 18921-2025")</f>
        <v/>
      </c>
      <c r="X35">
        <f>HYPERLINK("https://klasma.github.io/Logging_2506/tillsyn/A 18921-2025 tillsynsbegäran.docx", "A 18921-2025")</f>
        <v/>
      </c>
      <c r="Y35">
        <f>HYPERLINK("https://klasma.github.io/Logging_2506/tillsynsmail/A 18921-2025 tillsynsbegäran mail.docx", "A 18921-2025")</f>
        <v/>
      </c>
    </row>
    <row r="36" ht="15" customHeight="1">
      <c r="A36" t="inlineStr">
        <is>
          <t>A 61050-2020</t>
        </is>
      </c>
      <c r="B36" s="1" t="n">
        <v>44154</v>
      </c>
      <c r="C36" s="1" t="n">
        <v>45916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66844-2021</t>
        </is>
      </c>
      <c r="B37" s="1" t="n">
        <v>44520</v>
      </c>
      <c r="C37" s="1" t="n">
        <v>45916</v>
      </c>
      <c r="D37" t="inlineStr">
        <is>
          <t>NORRBOTTENS LÄN</t>
        </is>
      </c>
      <c r="E37" t="inlineStr">
        <is>
          <t>ARJEPLOG</t>
        </is>
      </c>
      <c r="G37" t="n">
        <v>44.8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56274-2021</t>
        </is>
      </c>
      <c r="B38" s="1" t="n">
        <v>44479</v>
      </c>
      <c r="C38" s="1" t="n">
        <v>45916</v>
      </c>
      <c r="D38" t="inlineStr">
        <is>
          <t>NORRBOTTENS LÄN</t>
        </is>
      </c>
      <c r="E38" t="inlineStr">
        <is>
          <t>ARJEPLOG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56275-2021</t>
        </is>
      </c>
      <c r="B39" s="1" t="n">
        <v>44479</v>
      </c>
      <c r="C39" s="1" t="n">
        <v>45916</v>
      </c>
      <c r="D39" t="inlineStr">
        <is>
          <t>NORRBOTTENS LÄN</t>
        </is>
      </c>
      <c r="E39" t="inlineStr">
        <is>
          <t>ARJEPLOG</t>
        </is>
      </c>
      <c r="G39" t="n">
        <v>16.2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56277-2021</t>
        </is>
      </c>
      <c r="B40" s="1" t="n">
        <v>44479</v>
      </c>
      <c r="C40" s="1" t="n">
        <v>45916</v>
      </c>
      <c r="D40" t="inlineStr">
        <is>
          <t>NORRBOTTENS LÄN</t>
        </is>
      </c>
      <c r="E40" t="inlineStr">
        <is>
          <t>ARJEPLOG</t>
        </is>
      </c>
      <c r="G40" t="n">
        <v>19.4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12789-2022</t>
        </is>
      </c>
      <c r="B41" s="1" t="n">
        <v>44642</v>
      </c>
      <c r="C41" s="1" t="n">
        <v>45916</v>
      </c>
      <c r="D41" t="inlineStr">
        <is>
          <t>NORRBOTTENS LÄN</t>
        </is>
      </c>
      <c r="E41" t="inlineStr">
        <is>
          <t>ARJEPLOG</t>
        </is>
      </c>
      <c r="F41" t="inlineStr">
        <is>
          <t>Övriga statliga verk och myndigheter</t>
        </is>
      </c>
      <c r="G41" t="n">
        <v>56.1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8721-2021</t>
        </is>
      </c>
      <c r="B42" s="1" t="n">
        <v>44246</v>
      </c>
      <c r="C42" s="1" t="n">
        <v>45916</v>
      </c>
      <c r="D42" t="inlineStr">
        <is>
          <t>NORRBOTTENS LÄN</t>
        </is>
      </c>
      <c r="E42" t="inlineStr">
        <is>
          <t>ARJEPLOG</t>
        </is>
      </c>
      <c r="F42" t="inlineStr">
        <is>
          <t>Sveaskog</t>
        </is>
      </c>
      <c r="G42" t="n">
        <v>48.3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45916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45916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45916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27092-2022</t>
        </is>
      </c>
      <c r="B46" s="1" t="n">
        <v>44741</v>
      </c>
      <c r="C46" s="1" t="n">
        <v>45916</v>
      </c>
      <c r="D46" t="inlineStr">
        <is>
          <t>NORRBOTTENS LÄN</t>
        </is>
      </c>
      <c r="E46" t="inlineStr">
        <is>
          <t>ARJEPLOG</t>
        </is>
      </c>
      <c r="G46" t="n">
        <v>15.6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58879-2021</t>
        </is>
      </c>
      <c r="B47" s="1" t="n">
        <v>44489</v>
      </c>
      <c r="C47" s="1" t="n">
        <v>45916</v>
      </c>
      <c r="D47" t="inlineStr">
        <is>
          <t>NORRBOTTENS LÄN</t>
        </is>
      </c>
      <c r="E47" t="inlineStr">
        <is>
          <t>ARJEPLOG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8727-2021</t>
        </is>
      </c>
      <c r="B48" s="1" t="n">
        <v>44246</v>
      </c>
      <c r="C48" s="1" t="n">
        <v>45916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46585-2021</t>
        </is>
      </c>
      <c r="B49" s="1" t="n">
        <v>44445</v>
      </c>
      <c r="C49" s="1" t="n">
        <v>45916</v>
      </c>
      <c r="D49" t="inlineStr">
        <is>
          <t>NORRBOTTENS LÄN</t>
        </is>
      </c>
      <c r="E49" t="inlineStr">
        <is>
          <t>ARJEPLOG</t>
        </is>
      </c>
      <c r="F49" t="inlineStr">
        <is>
          <t>Övriga statliga verk och myndigheter</t>
        </is>
      </c>
      <c r="G49" t="n">
        <v>11.1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19620-2022</t>
        </is>
      </c>
      <c r="B50" s="1" t="n">
        <v>44694</v>
      </c>
      <c r="C50" s="1" t="n">
        <v>45916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64857-2020</t>
        </is>
      </c>
      <c r="B51" s="1" t="n">
        <v>44171</v>
      </c>
      <c r="C51" s="1" t="n">
        <v>45916</v>
      </c>
      <c r="D51" t="inlineStr">
        <is>
          <t>NORRBOTTENS LÄN</t>
        </is>
      </c>
      <c r="E51" t="inlineStr">
        <is>
          <t>ARJEPLOG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72279-2021</t>
        </is>
      </c>
      <c r="B52" s="1" t="n">
        <v>44543</v>
      </c>
      <c r="C52" s="1" t="n">
        <v>45916</v>
      </c>
      <c r="D52" t="inlineStr">
        <is>
          <t>NORRBOTTENS LÄN</t>
        </is>
      </c>
      <c r="E52" t="inlineStr">
        <is>
          <t>ARJEPLOG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31439-2021</t>
        </is>
      </c>
      <c r="B53" s="1" t="n">
        <v>44369</v>
      </c>
      <c r="C53" s="1" t="n">
        <v>45916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41799-2021</t>
        </is>
      </c>
      <c r="B54" s="1" t="n">
        <v>44425</v>
      </c>
      <c r="C54" s="1" t="n">
        <v>45916</v>
      </c>
      <c r="D54" t="inlineStr">
        <is>
          <t>NORRBOTTENS LÄN</t>
        </is>
      </c>
      <c r="E54" t="inlineStr">
        <is>
          <t>ARJEPLOG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18923-2025</t>
        </is>
      </c>
      <c r="B55" s="1" t="n">
        <v>45764</v>
      </c>
      <c r="C55" s="1" t="n">
        <v>45916</v>
      </c>
      <c r="D55" t="inlineStr">
        <is>
          <t>NORRBOTTENS LÄN</t>
        </is>
      </c>
      <c r="E55" t="inlineStr">
        <is>
          <t>ARJEPLOG</t>
        </is>
      </c>
      <c r="F55" t="inlineStr">
        <is>
          <t>Sveaskog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25270-2023</t>
        </is>
      </c>
      <c r="B56" s="1" t="n">
        <v>45079</v>
      </c>
      <c r="C56" s="1" t="n">
        <v>45916</v>
      </c>
      <c r="D56" t="inlineStr">
        <is>
          <t>NORRBOTTENS LÄN</t>
        </is>
      </c>
      <c r="E56" t="inlineStr">
        <is>
          <t>ARJEPLOG</t>
        </is>
      </c>
      <c r="F56" t="inlineStr">
        <is>
          <t>Övriga statliga verk och myndigheter</t>
        </is>
      </c>
      <c r="G56" t="n">
        <v>29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62801-2023</t>
        </is>
      </c>
      <c r="B57" s="1" t="n">
        <v>45268</v>
      </c>
      <c r="C57" s="1" t="n">
        <v>45916</v>
      </c>
      <c r="D57" t="inlineStr">
        <is>
          <t>NORRBOTTENS LÄN</t>
        </is>
      </c>
      <c r="E57" t="inlineStr">
        <is>
          <t>ARJEPLOG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64809-2023</t>
        </is>
      </c>
      <c r="B58" s="1" t="n">
        <v>45281</v>
      </c>
      <c r="C58" s="1" t="n">
        <v>45916</v>
      </c>
      <c r="D58" t="inlineStr">
        <is>
          <t>NORRBOTTENS LÄN</t>
        </is>
      </c>
      <c r="E58" t="inlineStr">
        <is>
          <t>ARJEPLOG</t>
        </is>
      </c>
      <c r="G58" t="n">
        <v>17.8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64826-2023</t>
        </is>
      </c>
      <c r="B59" s="1" t="n">
        <v>45281</v>
      </c>
      <c r="C59" s="1" t="n">
        <v>45916</v>
      </c>
      <c r="D59" t="inlineStr">
        <is>
          <t>NORRBOTTENS LÄN</t>
        </is>
      </c>
      <c r="E59" t="inlineStr">
        <is>
          <t>ARJEPLOG</t>
        </is>
      </c>
      <c r="F59" t="inlineStr">
        <is>
          <t>Sveaskog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58370-2023</t>
        </is>
      </c>
      <c r="B60" s="1" t="n">
        <v>45250</v>
      </c>
      <c r="C60" s="1" t="n">
        <v>45916</v>
      </c>
      <c r="D60" t="inlineStr">
        <is>
          <t>NORRBOTTENS LÄN</t>
        </is>
      </c>
      <c r="E60" t="inlineStr">
        <is>
          <t>ARJEPLOG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26470-2024</t>
        </is>
      </c>
      <c r="B61" s="1" t="n">
        <v>45468</v>
      </c>
      <c r="C61" s="1" t="n">
        <v>45916</v>
      </c>
      <c r="D61" t="inlineStr">
        <is>
          <t>NORRBOTTENS LÄN</t>
        </is>
      </c>
      <c r="E61" t="inlineStr">
        <is>
          <t>ARJEPLOG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46910-2024</t>
        </is>
      </c>
      <c r="B62" s="1" t="n">
        <v>45583</v>
      </c>
      <c r="C62" s="1" t="n">
        <v>45916</v>
      </c>
      <c r="D62" t="inlineStr">
        <is>
          <t>NORRBOTTENS LÄN</t>
        </is>
      </c>
      <c r="E62" t="inlineStr">
        <is>
          <t>ARJEPLOG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52581-2022</t>
        </is>
      </c>
      <c r="B63" s="1" t="n">
        <v>44874</v>
      </c>
      <c r="C63" s="1" t="n">
        <v>45916</v>
      </c>
      <c r="D63" t="inlineStr">
        <is>
          <t>NORRBOTTENS LÄN</t>
        </is>
      </c>
      <c r="E63" t="inlineStr">
        <is>
          <t>ARJEPLOG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25440-2024</t>
        </is>
      </c>
      <c r="B64" s="1" t="n">
        <v>45463</v>
      </c>
      <c r="C64" s="1" t="n">
        <v>45916</v>
      </c>
      <c r="D64" t="inlineStr">
        <is>
          <t>NORRBOTTENS LÄN</t>
        </is>
      </c>
      <c r="E64" t="inlineStr">
        <is>
          <t>ARJEPLOG</t>
        </is>
      </c>
      <c r="F64" t="inlineStr">
        <is>
          <t>Allmännings- och besparingsskogar</t>
        </is>
      </c>
      <c r="G64" t="n">
        <v>30.7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55266-2024</t>
        </is>
      </c>
      <c r="B65" s="1" t="n">
        <v>45621</v>
      </c>
      <c r="C65" s="1" t="n">
        <v>45916</v>
      </c>
      <c r="D65" t="inlineStr">
        <is>
          <t>NORRBOTTENS LÄN</t>
        </is>
      </c>
      <c r="E65" t="inlineStr">
        <is>
          <t>ARJEPLOG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55124-2024</t>
        </is>
      </c>
      <c r="B66" s="1" t="n">
        <v>45618</v>
      </c>
      <c r="C66" s="1" t="n">
        <v>45916</v>
      </c>
      <c r="D66" t="inlineStr">
        <is>
          <t>NORRBOTTENS LÄN</t>
        </is>
      </c>
      <c r="E66" t="inlineStr">
        <is>
          <t>ARJEPLOG</t>
        </is>
      </c>
      <c r="G66" t="n">
        <v>18.3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55422-2021</t>
        </is>
      </c>
      <c r="B67" s="1" t="n">
        <v>44475</v>
      </c>
      <c r="C67" s="1" t="n">
        <v>45916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43045-2022</t>
        </is>
      </c>
      <c r="B68" s="1" t="n">
        <v>44833</v>
      </c>
      <c r="C68" s="1" t="n">
        <v>45916</v>
      </c>
      <c r="D68" t="inlineStr">
        <is>
          <t>NORRBOTTENS LÄN</t>
        </is>
      </c>
      <c r="E68" t="inlineStr">
        <is>
          <t>ARJEPLOG</t>
        </is>
      </c>
      <c r="G68" t="n">
        <v>24.6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17536-2023</t>
        </is>
      </c>
      <c r="B69" s="1" t="n">
        <v>45034</v>
      </c>
      <c r="C69" s="1" t="n">
        <v>45916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20.3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43045-2022</t>
        </is>
      </c>
      <c r="B70" s="1" t="n">
        <v>44833</v>
      </c>
      <c r="C70" s="1" t="n">
        <v>45916</v>
      </c>
      <c r="D70" t="inlineStr">
        <is>
          <t>NORRBOTTENS LÄN</t>
        </is>
      </c>
      <c r="E70" t="inlineStr">
        <is>
          <t>ARJEPLOG</t>
        </is>
      </c>
      <c r="G70" t="n">
        <v>23.2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3006-2024</t>
        </is>
      </c>
      <c r="B71" s="1" t="n">
        <v>45315</v>
      </c>
      <c r="C71" s="1" t="n">
        <v>45916</v>
      </c>
      <c r="D71" t="inlineStr">
        <is>
          <t>NORRBOTTENS LÄN</t>
        </is>
      </c>
      <c r="E71" t="inlineStr">
        <is>
          <t>ARJEPLOG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26103-2024</t>
        </is>
      </c>
      <c r="B72" s="1" t="n">
        <v>45467</v>
      </c>
      <c r="C72" s="1" t="n">
        <v>45916</v>
      </c>
      <c r="D72" t="inlineStr">
        <is>
          <t>NORRBOTTENS LÄN</t>
        </is>
      </c>
      <c r="E72" t="inlineStr">
        <is>
          <t>ARJEPLOG</t>
        </is>
      </c>
      <c r="G72" t="n">
        <v>17.2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526-2025</t>
        </is>
      </c>
      <c r="B73" s="1" t="n">
        <v>45664</v>
      </c>
      <c r="C73" s="1" t="n">
        <v>45916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45072-2023</t>
        </is>
      </c>
      <c r="B74" s="1" t="n">
        <v>45187</v>
      </c>
      <c r="C74" s="1" t="n">
        <v>45916</v>
      </c>
      <c r="D74" t="inlineStr">
        <is>
          <t>NORRBOTTENS LÄN</t>
        </is>
      </c>
      <c r="E74" t="inlineStr">
        <is>
          <t>ARJEPLOG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64832-2023</t>
        </is>
      </c>
      <c r="B75" s="1" t="n">
        <v>45281</v>
      </c>
      <c r="C75" s="1" t="n">
        <v>45916</v>
      </c>
      <c r="D75" t="inlineStr">
        <is>
          <t>NORRBOTTENS LÄN</t>
        </is>
      </c>
      <c r="E75" t="inlineStr">
        <is>
          <t>ARJEPLOG</t>
        </is>
      </c>
      <c r="G75" t="n">
        <v>43.6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29667-2025</t>
        </is>
      </c>
      <c r="B76" s="1" t="n">
        <v>45825</v>
      </c>
      <c r="C76" s="1" t="n">
        <v>45916</v>
      </c>
      <c r="D76" t="inlineStr">
        <is>
          <t>NORRBOTTENS LÄN</t>
        </is>
      </c>
      <c r="E76" t="inlineStr">
        <is>
          <t>ARJEPLOG</t>
        </is>
      </c>
      <c r="F76" t="inlineStr">
        <is>
          <t>Allmännings- och besparingsskogar</t>
        </is>
      </c>
      <c r="G76" t="n">
        <v>20.1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25928-2024</t>
        </is>
      </c>
      <c r="B77" s="1" t="n">
        <v>45467</v>
      </c>
      <c r="C77" s="1" t="n">
        <v>45916</v>
      </c>
      <c r="D77" t="inlineStr">
        <is>
          <t>NORRBOTTENS LÄN</t>
        </is>
      </c>
      <c r="E77" t="inlineStr">
        <is>
          <t>ARJEPLOG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25275-2023</t>
        </is>
      </c>
      <c r="B78" s="1" t="n">
        <v>45079</v>
      </c>
      <c r="C78" s="1" t="n">
        <v>45916</v>
      </c>
      <c r="D78" t="inlineStr">
        <is>
          <t>NORRBOTTENS LÄN</t>
        </is>
      </c>
      <c r="E78" t="inlineStr">
        <is>
          <t>ARJEPLOG</t>
        </is>
      </c>
      <c r="F78" t="inlineStr">
        <is>
          <t>Övriga statliga verk och myndigheter</t>
        </is>
      </c>
      <c r="G78" t="n">
        <v>22.7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23949-2024</t>
        </is>
      </c>
      <c r="B79" s="1" t="n">
        <v>45455</v>
      </c>
      <c r="C79" s="1" t="n">
        <v>45916</v>
      </c>
      <c r="D79" t="inlineStr">
        <is>
          <t>NORRBOTTENS LÄN</t>
        </is>
      </c>
      <c r="E79" t="inlineStr">
        <is>
          <t>ARJEPLOG</t>
        </is>
      </c>
      <c r="F79" t="inlineStr">
        <is>
          <t>SCA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58989-2024</t>
        </is>
      </c>
      <c r="B80" s="1" t="n">
        <v>45636</v>
      </c>
      <c r="C80" s="1" t="n">
        <v>45916</v>
      </c>
      <c r="D80" t="inlineStr">
        <is>
          <t>NORRBOTTENS LÄN</t>
        </is>
      </c>
      <c r="E80" t="inlineStr">
        <is>
          <t>ARJEPLOG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31104-2025</t>
        </is>
      </c>
      <c r="B81" s="1" t="n">
        <v>45832.60090277778</v>
      </c>
      <c r="C81" s="1" t="n">
        <v>45916</v>
      </c>
      <c r="D81" t="inlineStr">
        <is>
          <t>NORRBOTTENS LÄN</t>
        </is>
      </c>
      <c r="E81" t="inlineStr">
        <is>
          <t>ARJEPLOG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37442-2025</t>
        </is>
      </c>
      <c r="B82" s="1" t="n">
        <v>45877.54096064815</v>
      </c>
      <c r="C82" s="1" t="n">
        <v>45916</v>
      </c>
      <c r="D82" t="inlineStr">
        <is>
          <t>NORRBOTTENS LÄN</t>
        </is>
      </c>
      <c r="E82" t="inlineStr">
        <is>
          <t>ARJEPLOG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12409-2025</t>
        </is>
      </c>
      <c r="B83" s="1" t="n">
        <v>45730.43366898148</v>
      </c>
      <c r="C83" s="1" t="n">
        <v>45916</v>
      </c>
      <c r="D83" t="inlineStr">
        <is>
          <t>NORRBOTTENS LÄN</t>
        </is>
      </c>
      <c r="E83" t="inlineStr">
        <is>
          <t>ARJEPLOG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48376-2023</t>
        </is>
      </c>
      <c r="B84" s="1" t="n">
        <v>45205</v>
      </c>
      <c r="C84" s="1" t="n">
        <v>45916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Aktiebolag</t>
        </is>
      </c>
      <c r="G84" t="n">
        <v>18.3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26773-2022</t>
        </is>
      </c>
      <c r="B85" s="1" t="n">
        <v>44732</v>
      </c>
      <c r="C85" s="1" t="n">
        <v>45916</v>
      </c>
      <c r="D85" t="inlineStr">
        <is>
          <t>NORRBOTTENS LÄN</t>
        </is>
      </c>
      <c r="E85" t="inlineStr">
        <is>
          <t>ARJEPLOG</t>
        </is>
      </c>
      <c r="F85" t="inlineStr">
        <is>
          <t>Övriga statliga verk och myndigheter</t>
        </is>
      </c>
      <c r="G85" t="n">
        <v>34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25559-2022</t>
        </is>
      </c>
      <c r="B86" s="1" t="n">
        <v>44732</v>
      </c>
      <c r="C86" s="1" t="n">
        <v>45916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39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45326-2024</t>
        </is>
      </c>
      <c r="B87" s="1" t="n">
        <v>45576</v>
      </c>
      <c r="C87" s="1" t="n">
        <v>45916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13.3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54589-2021</t>
        </is>
      </c>
      <c r="B88" s="1" t="n">
        <v>44473</v>
      </c>
      <c r="C88" s="1" t="n">
        <v>45916</v>
      </c>
      <c r="D88" t="inlineStr">
        <is>
          <t>NORRBOTTENS LÄN</t>
        </is>
      </c>
      <c r="E88" t="inlineStr">
        <is>
          <t>ARJEPLOG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61272-2020</t>
        </is>
      </c>
      <c r="B89" s="1" t="n">
        <v>44154</v>
      </c>
      <c r="C89" s="1" t="n">
        <v>45916</v>
      </c>
      <c r="D89" t="inlineStr">
        <is>
          <t>NORRBOTTENS LÄN</t>
        </is>
      </c>
      <c r="E89" t="inlineStr">
        <is>
          <t>ARJEPLOG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35194-2024</t>
        </is>
      </c>
      <c r="B90" s="1" t="n">
        <v>45530</v>
      </c>
      <c r="C90" s="1" t="n">
        <v>45916</v>
      </c>
      <c r="D90" t="inlineStr">
        <is>
          <t>NORRBOTTENS LÄN</t>
        </is>
      </c>
      <c r="E90" t="inlineStr">
        <is>
          <t>ARJEPLOG</t>
        </is>
      </c>
      <c r="G90" t="n">
        <v>20.1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12447-2025</t>
        </is>
      </c>
      <c r="B91" s="1" t="n">
        <v>45730.48715277778</v>
      </c>
      <c r="C91" s="1" t="n">
        <v>45916</v>
      </c>
      <c r="D91" t="inlineStr">
        <is>
          <t>NORRBOTTENS LÄN</t>
        </is>
      </c>
      <c r="E91" t="inlineStr">
        <is>
          <t>ARJEPLOG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38851-2025</t>
        </is>
      </c>
      <c r="B92" s="1" t="n">
        <v>45887.55271990741</v>
      </c>
      <c r="C92" s="1" t="n">
        <v>45916</v>
      </c>
      <c r="D92" t="inlineStr">
        <is>
          <t>NORRBOTTENS LÄN</t>
        </is>
      </c>
      <c r="E92" t="inlineStr">
        <is>
          <t>ARJEPLOG</t>
        </is>
      </c>
      <c r="G92" t="n">
        <v>15.2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30617-2025</t>
        </is>
      </c>
      <c r="B93" s="1" t="n">
        <v>45831</v>
      </c>
      <c r="C93" s="1" t="n">
        <v>45916</v>
      </c>
      <c r="D93" t="inlineStr">
        <is>
          <t>NORRBOTTENS LÄN</t>
        </is>
      </c>
      <c r="E93" t="inlineStr">
        <is>
          <t>ARJEPLOG</t>
        </is>
      </c>
      <c r="F93" t="inlineStr">
        <is>
          <t>Allmännings- och besparingsskogar</t>
        </is>
      </c>
      <c r="G93" t="n">
        <v>39.8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30595-2025</t>
        </is>
      </c>
      <c r="B94" s="1" t="n">
        <v>45831</v>
      </c>
      <c r="C94" s="1" t="n">
        <v>45916</v>
      </c>
      <c r="D94" t="inlineStr">
        <is>
          <t>NORRBOTTENS LÄN</t>
        </is>
      </c>
      <c r="E94" t="inlineStr">
        <is>
          <t>ARJEPLOG</t>
        </is>
      </c>
      <c r="G94" t="n">
        <v>15.6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30606-2025</t>
        </is>
      </c>
      <c r="B95" s="1" t="n">
        <v>45831</v>
      </c>
      <c r="C95" s="1" t="n">
        <v>45916</v>
      </c>
      <c r="D95" t="inlineStr">
        <is>
          <t>NORRBOTTENS LÄN</t>
        </is>
      </c>
      <c r="E95" t="inlineStr">
        <is>
          <t>ARJEPLOG</t>
        </is>
      </c>
      <c r="F95" t="inlineStr">
        <is>
          <t>Allmännings- och besparingsskogar</t>
        </is>
      </c>
      <c r="G95" t="n">
        <v>70.40000000000001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29674-2025</t>
        </is>
      </c>
      <c r="B96" s="1" t="n">
        <v>45825</v>
      </c>
      <c r="C96" s="1" t="n">
        <v>45916</v>
      </c>
      <c r="D96" t="inlineStr">
        <is>
          <t>NORRBOTTENS LÄN</t>
        </is>
      </c>
      <c r="E96" t="inlineStr">
        <is>
          <t>ARJEPLOG</t>
        </is>
      </c>
      <c r="F96" t="inlineStr">
        <is>
          <t>Allmännings- och besparingsskogar</t>
        </is>
      </c>
      <c r="G96" t="n">
        <v>25.1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29662-2025</t>
        </is>
      </c>
      <c r="B97" s="1" t="n">
        <v>45825</v>
      </c>
      <c r="C97" s="1" t="n">
        <v>45916</v>
      </c>
      <c r="D97" t="inlineStr">
        <is>
          <t>NORRBOTTENS LÄN</t>
        </is>
      </c>
      <c r="E97" t="inlineStr">
        <is>
          <t>ARJEPLOG</t>
        </is>
      </c>
      <c r="F97" t="inlineStr">
        <is>
          <t>Allmännings- och besparingsskogar</t>
        </is>
      </c>
      <c r="G97" t="n">
        <v>23.7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36623-2023</t>
        </is>
      </c>
      <c r="B98" s="1" t="n">
        <v>45153</v>
      </c>
      <c r="C98" s="1" t="n">
        <v>45916</v>
      </c>
      <c r="D98" t="inlineStr">
        <is>
          <t>NORRBOTTENS LÄN</t>
        </is>
      </c>
      <c r="E98" t="inlineStr">
        <is>
          <t>ARJEPLOG</t>
        </is>
      </c>
      <c r="F98" t="inlineStr">
        <is>
          <t>Sveaskog</t>
        </is>
      </c>
      <c r="G98" t="n">
        <v>16.9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50255-2023</t>
        </is>
      </c>
      <c r="B99" s="1" t="n">
        <v>45216</v>
      </c>
      <c r="C99" s="1" t="n">
        <v>45916</v>
      </c>
      <c r="D99" t="inlineStr">
        <is>
          <t>NORRBOTTENS LÄN</t>
        </is>
      </c>
      <c r="E99" t="inlineStr">
        <is>
          <t>ARJEPLOG</t>
        </is>
      </c>
      <c r="G99" t="n">
        <v>20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42597-2025</t>
        </is>
      </c>
      <c r="B100" s="1" t="n">
        <v>45905</v>
      </c>
      <c r="C100" s="1" t="n">
        <v>45916</v>
      </c>
      <c r="D100" t="inlineStr">
        <is>
          <t>NORRBOTTENS LÄN</t>
        </is>
      </c>
      <c r="E100" t="inlineStr">
        <is>
          <t>ARJEPLOG</t>
        </is>
      </c>
      <c r="G100" t="n">
        <v>9.199999999999999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20789-2022</t>
        </is>
      </c>
      <c r="B101" s="1" t="n">
        <v>44701</v>
      </c>
      <c r="C101" s="1" t="n">
        <v>45916</v>
      </c>
      <c r="D101" t="inlineStr">
        <is>
          <t>NORRBOTTENS LÄN</t>
        </is>
      </c>
      <c r="E101" t="inlineStr">
        <is>
          <t>ARJEPLOG</t>
        </is>
      </c>
      <c r="G101" t="n">
        <v>20.3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36779-2025</t>
        </is>
      </c>
      <c r="B102" s="1" t="n">
        <v>45873</v>
      </c>
      <c r="C102" s="1" t="n">
        <v>45916</v>
      </c>
      <c r="D102" t="inlineStr">
        <is>
          <t>NORRBOTTENS LÄN</t>
        </is>
      </c>
      <c r="E102" t="inlineStr">
        <is>
          <t>ARJEPLOG</t>
        </is>
      </c>
      <c r="G102" t="n">
        <v>17.2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26479-2024</t>
        </is>
      </c>
      <c r="B103" s="1" t="n">
        <v>45468</v>
      </c>
      <c r="C103" s="1" t="n">
        <v>45916</v>
      </c>
      <c r="D103" t="inlineStr">
        <is>
          <t>NORRBOTTENS LÄN</t>
        </is>
      </c>
      <c r="E103" t="inlineStr">
        <is>
          <t>ARJEPLOG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64837-2023</t>
        </is>
      </c>
      <c r="B104" s="1" t="n">
        <v>45281</v>
      </c>
      <c r="C104" s="1" t="n">
        <v>45916</v>
      </c>
      <c r="D104" t="inlineStr">
        <is>
          <t>NORRBOTTENS LÄN</t>
        </is>
      </c>
      <c r="E104" t="inlineStr">
        <is>
          <t>ARJEPLOG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64840-2023</t>
        </is>
      </c>
      <c r="B105" s="1" t="n">
        <v>45281</v>
      </c>
      <c r="C105" s="1" t="n">
        <v>45916</v>
      </c>
      <c r="D105" t="inlineStr">
        <is>
          <t>NORRBOTTENS LÄN</t>
        </is>
      </c>
      <c r="E105" t="inlineStr">
        <is>
          <t>ARJEPLOG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41061-2024</t>
        </is>
      </c>
      <c r="B106" s="1" t="n">
        <v>45558</v>
      </c>
      <c r="C106" s="1" t="n">
        <v>45916</v>
      </c>
      <c r="D106" t="inlineStr">
        <is>
          <t>NORRBOTTENS LÄN</t>
        </is>
      </c>
      <c r="E106" t="inlineStr">
        <is>
          <t>ARJEPLOG</t>
        </is>
      </c>
      <c r="G106" t="n">
        <v>23.1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56785-2024</t>
        </is>
      </c>
      <c r="B107" s="1" t="n">
        <v>45625</v>
      </c>
      <c r="C107" s="1" t="n">
        <v>45916</v>
      </c>
      <c r="D107" t="inlineStr">
        <is>
          <t>NORRBOTTENS LÄN</t>
        </is>
      </c>
      <c r="E107" t="inlineStr">
        <is>
          <t>ARJEPLOG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25239-2023</t>
        </is>
      </c>
      <c r="B108" s="1" t="n">
        <v>45079</v>
      </c>
      <c r="C108" s="1" t="n">
        <v>45916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53822-2024</t>
        </is>
      </c>
      <c r="B109" s="1" t="n">
        <v>45614</v>
      </c>
      <c r="C109" s="1" t="n">
        <v>45916</v>
      </c>
      <c r="D109" t="inlineStr">
        <is>
          <t>NORRBOTTENS LÄN</t>
        </is>
      </c>
      <c r="E109" t="inlineStr">
        <is>
          <t>ARJEPLOG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56800-2024</t>
        </is>
      </c>
      <c r="B110" s="1" t="n">
        <v>45625</v>
      </c>
      <c r="C110" s="1" t="n">
        <v>45916</v>
      </c>
      <c r="D110" t="inlineStr">
        <is>
          <t>NORRBOTTENS LÄN</t>
        </is>
      </c>
      <c r="E110" t="inlineStr">
        <is>
          <t>ARJEPLOG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64816-2023</t>
        </is>
      </c>
      <c r="B111" s="1" t="n">
        <v>45281</v>
      </c>
      <c r="C111" s="1" t="n">
        <v>45916</v>
      </c>
      <c r="D111" t="inlineStr">
        <is>
          <t>NORRBOTTENS LÄN</t>
        </is>
      </c>
      <c r="E111" t="inlineStr">
        <is>
          <t>ARJEPLOG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14375-2021</t>
        </is>
      </c>
      <c r="B112" s="1" t="n">
        <v>44279</v>
      </c>
      <c r="C112" s="1" t="n">
        <v>45916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60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28354-2022</t>
        </is>
      </c>
      <c r="B113" s="1" t="n">
        <v>44735</v>
      </c>
      <c r="C113" s="1" t="n">
        <v>45916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45417-2024</t>
        </is>
      </c>
      <c r="B114" s="1" t="n">
        <v>45576</v>
      </c>
      <c r="C114" s="1" t="n">
        <v>45916</v>
      </c>
      <c r="D114" t="inlineStr">
        <is>
          <t>NORRBOTTENS LÄN</t>
        </is>
      </c>
      <c r="E114" t="inlineStr">
        <is>
          <t>ARJEPLOG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73880-2021</t>
        </is>
      </c>
      <c r="B115" s="1" t="n">
        <v>44552</v>
      </c>
      <c r="C115" s="1" t="n">
        <v>45916</v>
      </c>
      <c r="D115" t="inlineStr">
        <is>
          <t>NORRBOTTENS LÄN</t>
        </is>
      </c>
      <c r="E115" t="inlineStr">
        <is>
          <t>ARJEPLOG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26472-2024</t>
        </is>
      </c>
      <c r="B116" s="1" t="n">
        <v>45469</v>
      </c>
      <c r="C116" s="1" t="n">
        <v>45916</v>
      </c>
      <c r="D116" t="inlineStr">
        <is>
          <t>NORRBOTTENS LÄN</t>
        </is>
      </c>
      <c r="E116" t="inlineStr">
        <is>
          <t>ARJEPLOG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26486-2024</t>
        </is>
      </c>
      <c r="B117" s="1" t="n">
        <v>45469</v>
      </c>
      <c r="C117" s="1" t="n">
        <v>45916</v>
      </c>
      <c r="D117" t="inlineStr">
        <is>
          <t>NORRBOTTENS LÄN</t>
        </is>
      </c>
      <c r="E117" t="inlineStr">
        <is>
          <t>ARJEPLOG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56794-2024</t>
        </is>
      </c>
      <c r="B118" s="1" t="n">
        <v>45625</v>
      </c>
      <c r="C118" s="1" t="n">
        <v>45916</v>
      </c>
      <c r="D118" t="inlineStr">
        <is>
          <t>NORRBOTTENS LÄN</t>
        </is>
      </c>
      <c r="E118" t="inlineStr">
        <is>
          <t>ARJEPLOG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56782-2024</t>
        </is>
      </c>
      <c r="B119" s="1" t="n">
        <v>45625</v>
      </c>
      <c r="C119" s="1" t="n">
        <v>45916</v>
      </c>
      <c r="D119" t="inlineStr">
        <is>
          <t>NORRBOTTENS LÄN</t>
        </is>
      </c>
      <c r="E119" t="inlineStr">
        <is>
          <t>ARJEPLOG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44218-2023</t>
        </is>
      </c>
      <c r="B120" s="1" t="n">
        <v>45183</v>
      </c>
      <c r="C120" s="1" t="n">
        <v>45916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42274-2022</t>
        </is>
      </c>
      <c r="B121" s="1" t="n">
        <v>44830</v>
      </c>
      <c r="C121" s="1" t="n">
        <v>45916</v>
      </c>
      <c r="D121" t="inlineStr">
        <is>
          <t>NORRBOTTENS LÄN</t>
        </is>
      </c>
      <c r="E121" t="inlineStr">
        <is>
          <t>ARJEPLOG</t>
        </is>
      </c>
      <c r="F121" t="inlineStr">
        <is>
          <t>SCA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45916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56754-2024</t>
        </is>
      </c>
      <c r="B123" s="1" t="n">
        <v>45625</v>
      </c>
      <c r="C123" s="1" t="n">
        <v>45916</v>
      </c>
      <c r="D123" t="inlineStr">
        <is>
          <t>NORRBOTTENS LÄN</t>
        </is>
      </c>
      <c r="E123" t="inlineStr">
        <is>
          <t>ARJEPLOG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30870-2023</t>
        </is>
      </c>
      <c r="B124" s="1" t="n">
        <v>45113</v>
      </c>
      <c r="C124" s="1" t="n">
        <v>45916</v>
      </c>
      <c r="D124" t="inlineStr">
        <is>
          <t>NORRBOTTENS LÄN</t>
        </is>
      </c>
      <c r="E124" t="inlineStr">
        <is>
          <t>ARJEPLOG</t>
        </is>
      </c>
      <c r="F124" t="inlineStr">
        <is>
          <t>Allmännings- och besparingsskogar</t>
        </is>
      </c>
      <c r="G124" t="n">
        <v>25.5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61729-2024</t>
        </is>
      </c>
      <c r="B125" s="1" t="n">
        <v>45649</v>
      </c>
      <c r="C125" s="1" t="n">
        <v>45916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64822-2023</t>
        </is>
      </c>
      <c r="B126" s="1" t="n">
        <v>45281</v>
      </c>
      <c r="C126" s="1" t="n">
        <v>45916</v>
      </c>
      <c r="D126" t="inlineStr">
        <is>
          <t>NORRBOTTENS LÄN</t>
        </is>
      </c>
      <c r="E126" t="inlineStr">
        <is>
          <t>ARJEPLOG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56276-2021</t>
        </is>
      </c>
      <c r="B127" s="1" t="n">
        <v>44479</v>
      </c>
      <c r="C127" s="1" t="n">
        <v>45916</v>
      </c>
      <c r="D127" t="inlineStr">
        <is>
          <t>NORRBOTTENS LÄN</t>
        </is>
      </c>
      <c r="E127" t="inlineStr">
        <is>
          <t>ARJEPLOG</t>
        </is>
      </c>
      <c r="G127" t="n">
        <v>19.8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26811-2022</t>
        </is>
      </c>
      <c r="B128" s="1" t="n">
        <v>44735</v>
      </c>
      <c r="C128" s="1" t="n">
        <v>45916</v>
      </c>
      <c r="D128" t="inlineStr">
        <is>
          <t>NORRBOTTENS LÄN</t>
        </is>
      </c>
      <c r="E128" t="inlineStr">
        <is>
          <t>ARJEPLOG</t>
        </is>
      </c>
      <c r="F128" t="inlineStr">
        <is>
          <t>Övriga statliga verk och myndigheter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29649-2024</t>
        </is>
      </c>
      <c r="B129" s="1" t="n">
        <v>45484</v>
      </c>
      <c r="C129" s="1" t="n">
        <v>45916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24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45924-2023</t>
        </is>
      </c>
      <c r="B130" s="1" t="n">
        <v>45189</v>
      </c>
      <c r="C130" s="1" t="n">
        <v>45916</v>
      </c>
      <c r="D130" t="inlineStr">
        <is>
          <t>NORRBOTTENS LÄN</t>
        </is>
      </c>
      <c r="E130" t="inlineStr">
        <is>
          <t>ARJEPLOG</t>
        </is>
      </c>
      <c r="G130" t="n">
        <v>11.2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10825-2025</t>
        </is>
      </c>
      <c r="B131" s="1" t="n">
        <v>45722</v>
      </c>
      <c r="C131" s="1" t="n">
        <v>45916</v>
      </c>
      <c r="D131" t="inlineStr">
        <is>
          <t>NORRBOTTENS LÄN</t>
        </is>
      </c>
      <c r="E131" t="inlineStr">
        <is>
          <t>ARJEPLOG</t>
        </is>
      </c>
      <c r="G131" t="n">
        <v>14.1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13119-2025</t>
        </is>
      </c>
      <c r="B132" s="1" t="n">
        <v>45734</v>
      </c>
      <c r="C132" s="1" t="n">
        <v>45916</v>
      </c>
      <c r="D132" t="inlineStr">
        <is>
          <t>NORRBOTTENS LÄN</t>
        </is>
      </c>
      <c r="E132" t="inlineStr">
        <is>
          <t>ARJEPLOG</t>
        </is>
      </c>
      <c r="G132" t="n">
        <v>14.7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20905-2025</t>
        </is>
      </c>
      <c r="B133" s="1" t="n">
        <v>45777.40407407407</v>
      </c>
      <c r="C133" s="1" t="n">
        <v>45916</v>
      </c>
      <c r="D133" t="inlineStr">
        <is>
          <t>NORRBOTTENS LÄN</t>
        </is>
      </c>
      <c r="E133" t="inlineStr">
        <is>
          <t>ARJEPLOG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20916-2025</t>
        </is>
      </c>
      <c r="B134" s="1" t="n">
        <v>45777.41037037037</v>
      </c>
      <c r="C134" s="1" t="n">
        <v>45916</v>
      </c>
      <c r="D134" t="inlineStr">
        <is>
          <t>NORRBOTTENS LÄN</t>
        </is>
      </c>
      <c r="E134" t="inlineStr">
        <is>
          <t>ARJEPLOG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2025-09-16T08:56:38Z</dcterms:created>
  <dcterms:modified xmlns:dcterms="http://purl.org/dc/terms/" xmlns:xsi="http://www.w3.org/2001/XMLSchema-instance" xsi:type="dcterms:W3CDTF">2025-09-16T08:56:38Z</dcterms:modified>
</cp:coreProperties>
</file>