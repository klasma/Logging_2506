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45984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45984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45984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45984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45984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45984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45984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45984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45984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45984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45984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45984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45984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45984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45984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45984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45984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45984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45984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45984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45984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45984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45984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45984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45984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45984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45984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45984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45984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26503-2025</t>
        </is>
      </c>
      <c r="B31" s="1" t="n">
        <v>45807</v>
      </c>
      <c r="C31" s="1" t="n">
        <v>45984</v>
      </c>
      <c r="D31" t="inlineStr">
        <is>
          <t>NORRBOTTENS LÄN</t>
        </is>
      </c>
      <c r="E31" t="inlineStr">
        <is>
          <t>ARJEPLOG</t>
        </is>
      </c>
      <c r="G31" t="n">
        <v>21.6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26503-2025 artfynd.xlsx", "A 26503-2025")</f>
        <v/>
      </c>
      <c r="T31">
        <f>HYPERLINK("https://klasma.github.io/Logging_2506/kartor/A 26503-2025 karta.png", "A 26503-2025")</f>
        <v/>
      </c>
      <c r="V31">
        <f>HYPERLINK("https://klasma.github.io/Logging_2506/klagomål/A 26503-2025 FSC-klagomål.docx", "A 26503-2025")</f>
        <v/>
      </c>
      <c r="W31">
        <f>HYPERLINK("https://klasma.github.io/Logging_2506/klagomålsmail/A 26503-2025 FSC-klagomål mail.docx", "A 26503-2025")</f>
        <v/>
      </c>
      <c r="X31">
        <f>HYPERLINK("https://klasma.github.io/Logging_2506/tillsyn/A 26503-2025 tillsynsbegäran.docx", "A 26503-2025")</f>
        <v/>
      </c>
      <c r="Y31">
        <f>HYPERLINK("https://klasma.github.io/Logging_2506/tillsynsmail/A 26503-2025 tillsynsbegäran mail.docx", "A 26503-2025")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45984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45984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45984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41375-2024</t>
        </is>
      </c>
      <c r="B35" s="1" t="n">
        <v>45559</v>
      </c>
      <c r="C35" s="1" t="n">
        <v>45984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HYPERLINK("https://klasma.github.io/Logging_2506/artfynd/A 41375-2024 artfynd.xlsx", "A 41375-2024")</f>
        <v/>
      </c>
      <c r="T35">
        <f>HYPERLINK("https://klasma.github.io/Logging_2506/kartor/A 41375-2024 karta.png", "A 41375-2024")</f>
        <v/>
      </c>
      <c r="V35">
        <f>HYPERLINK("https://klasma.github.io/Logging_2506/klagomål/A 41375-2024 FSC-klagomål.docx", "A 41375-2024")</f>
        <v/>
      </c>
      <c r="W35">
        <f>HYPERLINK("https://klasma.github.io/Logging_2506/klagomålsmail/A 41375-2024 FSC-klagomål mail.docx", "A 41375-2024")</f>
        <v/>
      </c>
      <c r="X35">
        <f>HYPERLINK("https://klasma.github.io/Logging_2506/tillsyn/A 41375-2024 tillsynsbegäran.docx", "A 41375-2024")</f>
        <v/>
      </c>
      <c r="Y35">
        <f>HYPERLINK("https://klasma.github.io/Logging_2506/tillsynsmail/A 41375-2024 tillsynsbegäran mail.docx", "A 41375-2024")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45984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45984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45984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45984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45984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45984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45984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45984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45984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45984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45984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45984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45984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45984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64857-2020</t>
        </is>
      </c>
      <c r="B50" s="1" t="n">
        <v>44171</v>
      </c>
      <c r="C50" s="1" t="n">
        <v>45984</v>
      </c>
      <c r="D50" t="inlineStr">
        <is>
          <t>NORRBOTTENS LÄN</t>
        </is>
      </c>
      <c r="E50" t="inlineStr">
        <is>
          <t>ARJEPLOG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45984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45984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45984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45984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45984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48376-2023</t>
        </is>
      </c>
      <c r="B56" s="1" t="n">
        <v>45205</v>
      </c>
      <c r="C56" s="1" t="n">
        <v>45984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Aktiebolag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56276-2021</t>
        </is>
      </c>
      <c r="B57" s="1" t="n">
        <v>44479</v>
      </c>
      <c r="C57" s="1" t="n">
        <v>45984</v>
      </c>
      <c r="D57" t="inlineStr">
        <is>
          <t>NORRBOTTENS LÄN</t>
        </is>
      </c>
      <c r="E57" t="inlineStr">
        <is>
          <t>ARJEPLOG</t>
        </is>
      </c>
      <c r="G57" t="n">
        <v>19.8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20905-2025</t>
        </is>
      </c>
      <c r="B58" s="1" t="n">
        <v>45777.40407407407</v>
      </c>
      <c r="C58" s="1" t="n">
        <v>45984</v>
      </c>
      <c r="D58" t="inlineStr">
        <is>
          <t>NORRBOTTENS LÄN</t>
        </is>
      </c>
      <c r="E58" t="inlineStr">
        <is>
          <t>ARJEPLOG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13119-2025</t>
        </is>
      </c>
      <c r="B59" s="1" t="n">
        <v>45734</v>
      </c>
      <c r="C59" s="1" t="n">
        <v>45984</v>
      </c>
      <c r="D59" t="inlineStr">
        <is>
          <t>NORRBOTTENS LÄN</t>
        </is>
      </c>
      <c r="E59" t="inlineStr">
        <is>
          <t>ARJEPLOG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38851-2025</t>
        </is>
      </c>
      <c r="B60" s="1" t="n">
        <v>45887.55271990741</v>
      </c>
      <c r="C60" s="1" t="n">
        <v>45984</v>
      </c>
      <c r="D60" t="inlineStr">
        <is>
          <t>NORRBOTTENS LÄN</t>
        </is>
      </c>
      <c r="E60" t="inlineStr">
        <is>
          <t>ARJEPLOG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26103-2024</t>
        </is>
      </c>
      <c r="B61" s="1" t="n">
        <v>45467</v>
      </c>
      <c r="C61" s="1" t="n">
        <v>45984</v>
      </c>
      <c r="D61" t="inlineStr">
        <is>
          <t>NORRBOTTENS LÄN</t>
        </is>
      </c>
      <c r="E61" t="inlineStr">
        <is>
          <t>ARJEPLOG</t>
        </is>
      </c>
      <c r="G61" t="n">
        <v>17.2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64826-2023</t>
        </is>
      </c>
      <c r="B62" s="1" t="n">
        <v>45281</v>
      </c>
      <c r="C62" s="1" t="n">
        <v>45984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35627-2025</t>
        </is>
      </c>
      <c r="B63" s="1" t="n">
        <v>45859</v>
      </c>
      <c r="C63" s="1" t="n">
        <v>45984</v>
      </c>
      <c r="D63" t="inlineStr">
        <is>
          <t>NORRBOTTENS LÄN</t>
        </is>
      </c>
      <c r="E63" t="inlineStr">
        <is>
          <t>ARJEPLOG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35194-2024</t>
        </is>
      </c>
      <c r="B64" s="1" t="n">
        <v>45530</v>
      </c>
      <c r="C64" s="1" t="n">
        <v>45984</v>
      </c>
      <c r="D64" t="inlineStr">
        <is>
          <t>NORRBOTTENS LÄN</t>
        </is>
      </c>
      <c r="E64" t="inlineStr">
        <is>
          <t>ARJEPLOG</t>
        </is>
      </c>
      <c r="G64" t="n">
        <v>20.1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58989-2024</t>
        </is>
      </c>
      <c r="B65" s="1" t="n">
        <v>45636</v>
      </c>
      <c r="C65" s="1" t="n">
        <v>45984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42325-2025</t>
        </is>
      </c>
      <c r="B66" s="1" t="n">
        <v>45903</v>
      </c>
      <c r="C66" s="1" t="n">
        <v>45984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42331-2025</t>
        </is>
      </c>
      <c r="B67" s="1" t="n">
        <v>45903</v>
      </c>
      <c r="C67" s="1" t="n">
        <v>45984</v>
      </c>
      <c r="D67" t="inlineStr">
        <is>
          <t>NORRBOTTENS LÄN</t>
        </is>
      </c>
      <c r="E67" t="inlineStr">
        <is>
          <t>ARJEPLOG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43045-2022</t>
        </is>
      </c>
      <c r="B68" s="1" t="n">
        <v>44833</v>
      </c>
      <c r="C68" s="1" t="n">
        <v>45984</v>
      </c>
      <c r="D68" t="inlineStr">
        <is>
          <t>NORRBOTTENS LÄN</t>
        </is>
      </c>
      <c r="E68" t="inlineStr">
        <is>
          <t>ARJEPLOG</t>
        </is>
      </c>
      <c r="G68" t="n">
        <v>24.6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43045-2022</t>
        </is>
      </c>
      <c r="B69" s="1" t="n">
        <v>44833</v>
      </c>
      <c r="C69" s="1" t="n">
        <v>45984</v>
      </c>
      <c r="D69" t="inlineStr">
        <is>
          <t>NORRBOTTENS LÄN</t>
        </is>
      </c>
      <c r="E69" t="inlineStr">
        <is>
          <t>ARJEPLOG</t>
        </is>
      </c>
      <c r="G69" t="n">
        <v>23.2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526-2025</t>
        </is>
      </c>
      <c r="B70" s="1" t="n">
        <v>45664</v>
      </c>
      <c r="C70" s="1" t="n">
        <v>45984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64832-2023</t>
        </is>
      </c>
      <c r="B71" s="1" t="n">
        <v>45281</v>
      </c>
      <c r="C71" s="1" t="n">
        <v>45984</v>
      </c>
      <c r="D71" t="inlineStr">
        <is>
          <t>NORRBOTTENS LÄN</t>
        </is>
      </c>
      <c r="E71" t="inlineStr">
        <is>
          <t>ARJEPLOG</t>
        </is>
      </c>
      <c r="G71" t="n">
        <v>43.6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36623-2023</t>
        </is>
      </c>
      <c r="B72" s="1" t="n">
        <v>45153</v>
      </c>
      <c r="C72" s="1" t="n">
        <v>45984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16.9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42518-2025</t>
        </is>
      </c>
      <c r="B73" s="1" t="n">
        <v>45905</v>
      </c>
      <c r="C73" s="1" t="n">
        <v>45984</v>
      </c>
      <c r="D73" t="inlineStr">
        <is>
          <t>NORRBOTTENS LÄN</t>
        </is>
      </c>
      <c r="E73" t="inlineStr">
        <is>
          <t>ARJEPLOG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42597-2025</t>
        </is>
      </c>
      <c r="B74" s="1" t="n">
        <v>45905</v>
      </c>
      <c r="C74" s="1" t="n">
        <v>45984</v>
      </c>
      <c r="D74" t="inlineStr">
        <is>
          <t>NORRBOTTENS LÄN</t>
        </is>
      </c>
      <c r="E74" t="inlineStr">
        <is>
          <t>ARJEPLOG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42526-2025</t>
        </is>
      </c>
      <c r="B75" s="1" t="n">
        <v>45905</v>
      </c>
      <c r="C75" s="1" t="n">
        <v>45984</v>
      </c>
      <c r="D75" t="inlineStr">
        <is>
          <t>NORRBOTTENS LÄN</t>
        </is>
      </c>
      <c r="E75" t="inlineStr">
        <is>
          <t>ARJEPLOG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73880-2021</t>
        </is>
      </c>
      <c r="B76" s="1" t="n">
        <v>44552</v>
      </c>
      <c r="C76" s="1" t="n">
        <v>45984</v>
      </c>
      <c r="D76" t="inlineStr">
        <is>
          <t>NORRBOTTENS LÄN</t>
        </is>
      </c>
      <c r="E76" t="inlineStr">
        <is>
          <t>ARJEPLOG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29667-2025</t>
        </is>
      </c>
      <c r="B77" s="1" t="n">
        <v>45825</v>
      </c>
      <c r="C77" s="1" t="n">
        <v>45984</v>
      </c>
      <c r="D77" t="inlineStr">
        <is>
          <t>NORRBOTTENS LÄN</t>
        </is>
      </c>
      <c r="E77" t="inlineStr">
        <is>
          <t>ARJEPLOG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23949-2024</t>
        </is>
      </c>
      <c r="B78" s="1" t="n">
        <v>45455</v>
      </c>
      <c r="C78" s="1" t="n">
        <v>45984</v>
      </c>
      <c r="D78" t="inlineStr">
        <is>
          <t>NORRBOTTENS LÄN</t>
        </is>
      </c>
      <c r="E78" t="inlineStr">
        <is>
          <t>ARJEPLOG</t>
        </is>
      </c>
      <c r="F78" t="inlineStr">
        <is>
          <t>SCA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31104-2025</t>
        </is>
      </c>
      <c r="B79" s="1" t="n">
        <v>45832.60090277778</v>
      </c>
      <c r="C79" s="1" t="n">
        <v>45984</v>
      </c>
      <c r="D79" t="inlineStr">
        <is>
          <t>NORRBOTTENS LÄN</t>
        </is>
      </c>
      <c r="E79" t="inlineStr">
        <is>
          <t>ARJEPLOG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25275-2023</t>
        </is>
      </c>
      <c r="B80" s="1" t="n">
        <v>45079</v>
      </c>
      <c r="C80" s="1" t="n">
        <v>45984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22.7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53246-2025</t>
        </is>
      </c>
      <c r="B81" s="1" t="n">
        <v>45958.64807870371</v>
      </c>
      <c r="C81" s="1" t="n">
        <v>45984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36.7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55422-2021</t>
        </is>
      </c>
      <c r="B82" s="1" t="n">
        <v>44475</v>
      </c>
      <c r="C82" s="1" t="n">
        <v>45984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48940-2023</t>
        </is>
      </c>
      <c r="B83" s="1" t="n">
        <v>45205</v>
      </c>
      <c r="C83" s="1" t="n">
        <v>45984</v>
      </c>
      <c r="D83" t="inlineStr">
        <is>
          <t>NORRBOTTENS LÄN</t>
        </is>
      </c>
      <c r="E83" t="inlineStr">
        <is>
          <t>ARJEPLOG</t>
        </is>
      </c>
      <c r="G83" t="n">
        <v>13.5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44943-2025</t>
        </is>
      </c>
      <c r="B84" s="1" t="n">
        <v>45918</v>
      </c>
      <c r="C84" s="1" t="n">
        <v>45984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25559-2022</t>
        </is>
      </c>
      <c r="B85" s="1" t="n">
        <v>44732</v>
      </c>
      <c r="C85" s="1" t="n">
        <v>45984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39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50255-2023</t>
        </is>
      </c>
      <c r="B86" s="1" t="n">
        <v>45216</v>
      </c>
      <c r="C86" s="1" t="n">
        <v>45984</v>
      </c>
      <c r="D86" t="inlineStr">
        <is>
          <t>NORRBOTTENS LÄN</t>
        </is>
      </c>
      <c r="E86" t="inlineStr">
        <is>
          <t>ARJEPLOG</t>
        </is>
      </c>
      <c r="G86" t="n">
        <v>20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46747-2025</t>
        </is>
      </c>
      <c r="B87" s="1" t="n">
        <v>45926</v>
      </c>
      <c r="C87" s="1" t="n">
        <v>45984</v>
      </c>
      <c r="D87" t="inlineStr">
        <is>
          <t>NORRBOTTENS LÄN</t>
        </is>
      </c>
      <c r="E87" t="inlineStr">
        <is>
          <t>ARJEPLOG</t>
        </is>
      </c>
      <c r="G87" t="n">
        <v>19.7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30606-2025</t>
        </is>
      </c>
      <c r="B88" s="1" t="n">
        <v>45831</v>
      </c>
      <c r="C88" s="1" t="n">
        <v>45984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70.40000000000001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30617-2025</t>
        </is>
      </c>
      <c r="B89" s="1" t="n">
        <v>45831</v>
      </c>
      <c r="C89" s="1" t="n">
        <v>45984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39.8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29662-2025</t>
        </is>
      </c>
      <c r="B90" s="1" t="n">
        <v>45825</v>
      </c>
      <c r="C90" s="1" t="n">
        <v>45984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23.7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29674-2025</t>
        </is>
      </c>
      <c r="B91" s="1" t="n">
        <v>45825</v>
      </c>
      <c r="C91" s="1" t="n">
        <v>45984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25.1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30595-2025</t>
        </is>
      </c>
      <c r="B92" s="1" t="n">
        <v>45831</v>
      </c>
      <c r="C92" s="1" t="n">
        <v>45984</v>
      </c>
      <c r="D92" t="inlineStr">
        <is>
          <t>NORRBOTTENS LÄN</t>
        </is>
      </c>
      <c r="E92" t="inlineStr">
        <is>
          <t>ARJEPLOG</t>
        </is>
      </c>
      <c r="G92" t="n">
        <v>15.6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53822-2024</t>
        </is>
      </c>
      <c r="B93" s="1" t="n">
        <v>45614</v>
      </c>
      <c r="C93" s="1" t="n">
        <v>45984</v>
      </c>
      <c r="D93" t="inlineStr">
        <is>
          <t>NORRBOTTENS LÄN</t>
        </is>
      </c>
      <c r="E93" t="inlineStr">
        <is>
          <t>ARJEPLOG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45984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36779-2025</t>
        </is>
      </c>
      <c r="B95" s="1" t="n">
        <v>45873</v>
      </c>
      <c r="C95" s="1" t="n">
        <v>45984</v>
      </c>
      <c r="D95" t="inlineStr">
        <is>
          <t>NORRBOTTENS LÄN</t>
        </is>
      </c>
      <c r="E95" t="inlineStr">
        <is>
          <t>ARJEPLOG</t>
        </is>
      </c>
      <c r="G95" t="n">
        <v>17.2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25239-2023</t>
        </is>
      </c>
      <c r="B96" s="1" t="n">
        <v>45079</v>
      </c>
      <c r="C96" s="1" t="n">
        <v>45984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55570-2025</t>
        </is>
      </c>
      <c r="B97" s="1" t="n">
        <v>45971.65667824074</v>
      </c>
      <c r="C97" s="1" t="n">
        <v>45984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25270-2023</t>
        </is>
      </c>
      <c r="B98" s="1" t="n">
        <v>45079</v>
      </c>
      <c r="C98" s="1" t="n">
        <v>45984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10825-2025</t>
        </is>
      </c>
      <c r="B99" s="1" t="n">
        <v>45722</v>
      </c>
      <c r="C99" s="1" t="n">
        <v>45984</v>
      </c>
      <c r="D99" t="inlineStr">
        <is>
          <t>NORRBOTTENS LÄN</t>
        </is>
      </c>
      <c r="E99" t="inlineStr">
        <is>
          <t>ARJEPLOG</t>
        </is>
      </c>
      <c r="G99" t="n">
        <v>14.1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37442-2025</t>
        </is>
      </c>
      <c r="B100" s="1" t="n">
        <v>45877.54096064815</v>
      </c>
      <c r="C100" s="1" t="n">
        <v>45984</v>
      </c>
      <c r="D100" t="inlineStr">
        <is>
          <t>NORRBOTTENS LÄN</t>
        </is>
      </c>
      <c r="E100" t="inlineStr">
        <is>
          <t>ARJEPLOG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61729-2024</t>
        </is>
      </c>
      <c r="B101" s="1" t="n">
        <v>45649</v>
      </c>
      <c r="C101" s="1" t="n">
        <v>45984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29649-2024</t>
        </is>
      </c>
      <c r="B102" s="1" t="n">
        <v>45484</v>
      </c>
      <c r="C102" s="1" t="n">
        <v>45984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24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48987-2025</t>
        </is>
      </c>
      <c r="B103" s="1" t="n">
        <v>45937.5759837963</v>
      </c>
      <c r="C103" s="1" t="n">
        <v>45984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45984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48992-2025</t>
        </is>
      </c>
      <c r="B105" s="1" t="n">
        <v>45937.58351851852</v>
      </c>
      <c r="C105" s="1" t="n">
        <v>45984</v>
      </c>
      <c r="D105" t="inlineStr">
        <is>
          <t>NORRBOTTENS LÄN</t>
        </is>
      </c>
      <c r="E105" t="inlineStr">
        <is>
          <t>ARJEPLOG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45072-2023</t>
        </is>
      </c>
      <c r="B106" s="1" t="n">
        <v>45187</v>
      </c>
      <c r="C106" s="1" t="n">
        <v>45984</v>
      </c>
      <c r="D106" t="inlineStr">
        <is>
          <t>NORRBOTTENS LÄN</t>
        </is>
      </c>
      <c r="E106" t="inlineStr">
        <is>
          <t>ARJEPLOG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45984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54589-2021</t>
        </is>
      </c>
      <c r="B108" s="1" t="n">
        <v>44473</v>
      </c>
      <c r="C108" s="1" t="n">
        <v>45984</v>
      </c>
      <c r="D108" t="inlineStr">
        <is>
          <t>NORRBOTTENS LÄN</t>
        </is>
      </c>
      <c r="E108" t="inlineStr">
        <is>
          <t>ARJEPLOG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3006-2024</t>
        </is>
      </c>
      <c r="B109" s="1" t="n">
        <v>45315</v>
      </c>
      <c r="C109" s="1" t="n">
        <v>45984</v>
      </c>
      <c r="D109" t="inlineStr">
        <is>
          <t>NORRBOTTENS LÄN</t>
        </is>
      </c>
      <c r="E109" t="inlineStr">
        <is>
          <t>ARJEPLOG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25440-2024</t>
        </is>
      </c>
      <c r="B110" s="1" t="n">
        <v>45463</v>
      </c>
      <c r="C110" s="1" t="n">
        <v>45984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30.7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26470-2024</t>
        </is>
      </c>
      <c r="B111" s="1" t="n">
        <v>45468</v>
      </c>
      <c r="C111" s="1" t="n">
        <v>45984</v>
      </c>
      <c r="D111" t="inlineStr">
        <is>
          <t>NORRBOTTENS LÄN</t>
        </is>
      </c>
      <c r="E111" t="inlineStr">
        <is>
          <t>ARJEPLOG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14375-2021</t>
        </is>
      </c>
      <c r="B112" s="1" t="n">
        <v>44279</v>
      </c>
      <c r="C112" s="1" t="n">
        <v>45984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60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56754-2024</t>
        </is>
      </c>
      <c r="B113" s="1" t="n">
        <v>45625</v>
      </c>
      <c r="C113" s="1" t="n">
        <v>45984</v>
      </c>
      <c r="D113" t="inlineStr">
        <is>
          <t>NORRBOTTENS LÄN</t>
        </is>
      </c>
      <c r="E113" t="inlineStr">
        <is>
          <t>ARJEPLOG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56800-2024</t>
        </is>
      </c>
      <c r="B114" s="1" t="n">
        <v>45625</v>
      </c>
      <c r="C114" s="1" t="n">
        <v>45984</v>
      </c>
      <c r="D114" t="inlineStr">
        <is>
          <t>NORRBOTTENS LÄN</t>
        </is>
      </c>
      <c r="E114" t="inlineStr">
        <is>
          <t>ARJEPLOG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56782-2024</t>
        </is>
      </c>
      <c r="B115" s="1" t="n">
        <v>45625</v>
      </c>
      <c r="C115" s="1" t="n">
        <v>45984</v>
      </c>
      <c r="D115" t="inlineStr">
        <is>
          <t>NORRBOTTENS LÄN</t>
        </is>
      </c>
      <c r="E115" t="inlineStr">
        <is>
          <t>ARJEPLOG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56794-2024</t>
        </is>
      </c>
      <c r="B116" s="1" t="n">
        <v>45625</v>
      </c>
      <c r="C116" s="1" t="n">
        <v>45984</v>
      </c>
      <c r="D116" t="inlineStr">
        <is>
          <t>NORRBOTTENS LÄN</t>
        </is>
      </c>
      <c r="E116" t="inlineStr">
        <is>
          <t>ARJEPLOG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25928-2024</t>
        </is>
      </c>
      <c r="B117" s="1" t="n">
        <v>45467</v>
      </c>
      <c r="C117" s="1" t="n">
        <v>45984</v>
      </c>
      <c r="D117" t="inlineStr">
        <is>
          <t>NORRBOTTENS LÄN</t>
        </is>
      </c>
      <c r="E117" t="inlineStr">
        <is>
          <t>ARJEPLOG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45924-2023</t>
        </is>
      </c>
      <c r="B118" s="1" t="n">
        <v>45189</v>
      </c>
      <c r="C118" s="1" t="n">
        <v>45984</v>
      </c>
      <c r="D118" t="inlineStr">
        <is>
          <t>NORRBOTTENS LÄN</t>
        </is>
      </c>
      <c r="E118" t="inlineStr">
        <is>
          <t>ARJEPLOG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12409-2025</t>
        </is>
      </c>
      <c r="B119" s="1" t="n">
        <v>45730.43366898148</v>
      </c>
      <c r="C119" s="1" t="n">
        <v>45984</v>
      </c>
      <c r="D119" t="inlineStr">
        <is>
          <t>NORRBOTTENS LÄN</t>
        </is>
      </c>
      <c r="E119" t="inlineStr">
        <is>
          <t>ARJEPLOG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26811-2022</t>
        </is>
      </c>
      <c r="B120" s="1" t="n">
        <v>44735</v>
      </c>
      <c r="C120" s="1" t="n">
        <v>45984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44218-2023</t>
        </is>
      </c>
      <c r="B121" s="1" t="n">
        <v>45183</v>
      </c>
      <c r="C121" s="1" t="n">
        <v>45984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64837-2023</t>
        </is>
      </c>
      <c r="B122" s="1" t="n">
        <v>45281</v>
      </c>
      <c r="C122" s="1" t="n">
        <v>45984</v>
      </c>
      <c r="D122" t="inlineStr">
        <is>
          <t>NORRBOTTENS LÄN</t>
        </is>
      </c>
      <c r="E122" t="inlineStr">
        <is>
          <t>ARJEPLOG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64840-2023</t>
        </is>
      </c>
      <c r="B123" s="1" t="n">
        <v>45281</v>
      </c>
      <c r="C123" s="1" t="n">
        <v>45984</v>
      </c>
      <c r="D123" t="inlineStr">
        <is>
          <t>NORRBOTTENS LÄN</t>
        </is>
      </c>
      <c r="E123" t="inlineStr">
        <is>
          <t>ARJEPLOG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64816-2023</t>
        </is>
      </c>
      <c r="B124" s="1" t="n">
        <v>45281</v>
      </c>
      <c r="C124" s="1" t="n">
        <v>45984</v>
      </c>
      <c r="D124" t="inlineStr">
        <is>
          <t>NORRBOTTENS LÄN</t>
        </is>
      </c>
      <c r="E124" t="inlineStr">
        <is>
          <t>ARJEPLOG</t>
        </is>
      </c>
      <c r="G124" t="n">
        <v>13.4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26479-2024</t>
        </is>
      </c>
      <c r="B125" s="1" t="n">
        <v>45468</v>
      </c>
      <c r="C125" s="1" t="n">
        <v>45984</v>
      </c>
      <c r="D125" t="inlineStr">
        <is>
          <t>NORRBOTTENS LÄN</t>
        </is>
      </c>
      <c r="E125" t="inlineStr">
        <is>
          <t>ARJEPLOG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64809-2023</t>
        </is>
      </c>
      <c r="B126" s="1" t="n">
        <v>45281</v>
      </c>
      <c r="C126" s="1" t="n">
        <v>45984</v>
      </c>
      <c r="D126" t="inlineStr">
        <is>
          <t>NORRBOTTENS LÄN</t>
        </is>
      </c>
      <c r="E126" t="inlineStr">
        <is>
          <t>ARJEPLOG</t>
        </is>
      </c>
      <c r="G126" t="n">
        <v>17.8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46910-2024</t>
        </is>
      </c>
      <c r="B127" s="1" t="n">
        <v>45583</v>
      </c>
      <c r="C127" s="1" t="n">
        <v>45984</v>
      </c>
      <c r="D127" t="inlineStr">
        <is>
          <t>NORRBOTTENS LÄN</t>
        </is>
      </c>
      <c r="E127" t="inlineStr">
        <is>
          <t>ARJEPLOG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30870-2023</t>
        </is>
      </c>
      <c r="B128" s="1" t="n">
        <v>45113</v>
      </c>
      <c r="C128" s="1" t="n">
        <v>45984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64822-2023</t>
        </is>
      </c>
      <c r="B129" s="1" t="n">
        <v>45281</v>
      </c>
      <c r="C129" s="1" t="n">
        <v>45984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58370-2023</t>
        </is>
      </c>
      <c r="B130" s="1" t="n">
        <v>45250</v>
      </c>
      <c r="C130" s="1" t="n">
        <v>45984</v>
      </c>
      <c r="D130" t="inlineStr">
        <is>
          <t>NORRBOTTENS LÄN</t>
        </is>
      </c>
      <c r="E130" t="inlineStr">
        <is>
          <t>ARJEPLOG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26472-2024</t>
        </is>
      </c>
      <c r="B131" s="1" t="n">
        <v>45469</v>
      </c>
      <c r="C131" s="1" t="n">
        <v>45984</v>
      </c>
      <c r="D131" t="inlineStr">
        <is>
          <t>NORRBOTTENS LÄN</t>
        </is>
      </c>
      <c r="E131" t="inlineStr">
        <is>
          <t>ARJEPLOG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26486-2024</t>
        </is>
      </c>
      <c r="B132" s="1" t="n">
        <v>45469</v>
      </c>
      <c r="C132" s="1" t="n">
        <v>45984</v>
      </c>
      <c r="D132" t="inlineStr">
        <is>
          <t>NORRBOTTENS LÄN</t>
        </is>
      </c>
      <c r="E132" t="inlineStr">
        <is>
          <t>ARJEPLOG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55266-2024</t>
        </is>
      </c>
      <c r="B133" s="1" t="n">
        <v>45621</v>
      </c>
      <c r="C133" s="1" t="n">
        <v>45984</v>
      </c>
      <c r="D133" t="inlineStr">
        <is>
          <t>NORRBOTTENS LÄN</t>
        </is>
      </c>
      <c r="E133" t="inlineStr">
        <is>
          <t>ARJEPLOG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20789-2022</t>
        </is>
      </c>
      <c r="B134" s="1" t="n">
        <v>44701</v>
      </c>
      <c r="C134" s="1" t="n">
        <v>45984</v>
      </c>
      <c r="D134" t="inlineStr">
        <is>
          <t>NORRBOTTENS LÄN</t>
        </is>
      </c>
      <c r="E134" t="inlineStr">
        <is>
          <t>ARJEPLOG</t>
        </is>
      </c>
      <c r="G134" t="n">
        <v>20.3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26773-2022</t>
        </is>
      </c>
      <c r="B135" s="1" t="n">
        <v>44732</v>
      </c>
      <c r="C135" s="1" t="n">
        <v>45984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34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62801-2023</t>
        </is>
      </c>
      <c r="B136" s="1" t="n">
        <v>45268</v>
      </c>
      <c r="C136" s="1" t="n">
        <v>45984</v>
      </c>
      <c r="D136" t="inlineStr">
        <is>
          <t>NORRBOTTENS LÄN</t>
        </is>
      </c>
      <c r="E136" t="inlineStr">
        <is>
          <t>ARJEPLOG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41061-2024</t>
        </is>
      </c>
      <c r="B137" s="1" t="n">
        <v>45558</v>
      </c>
      <c r="C137" s="1" t="n">
        <v>45984</v>
      </c>
      <c r="D137" t="inlineStr">
        <is>
          <t>NORRBOTTENS LÄN</t>
        </is>
      </c>
      <c r="E137" t="inlineStr">
        <is>
          <t>ARJEPLOG</t>
        </is>
      </c>
      <c r="G137" t="n">
        <v>23.1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42274-2022</t>
        </is>
      </c>
      <c r="B138" s="1" t="n">
        <v>44830</v>
      </c>
      <c r="C138" s="1" t="n">
        <v>45984</v>
      </c>
      <c r="D138" t="inlineStr">
        <is>
          <t>NORRBOTTENS LÄN</t>
        </is>
      </c>
      <c r="E138" t="inlineStr">
        <is>
          <t>ARJEPLOG</t>
        </is>
      </c>
      <c r="F138" t="inlineStr">
        <is>
          <t>SCA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12447-2025</t>
        </is>
      </c>
      <c r="B139" s="1" t="n">
        <v>45730.48715277778</v>
      </c>
      <c r="C139" s="1" t="n">
        <v>45984</v>
      </c>
      <c r="D139" t="inlineStr">
        <is>
          <t>NORRBOTTENS LÄN</t>
        </is>
      </c>
      <c r="E139" t="inlineStr">
        <is>
          <t>ARJEPLOG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2025-11-23T10:17:13Z</dcterms:created>
  <dcterms:modified xmlns:dcterms="http://purl.org/dc/terms/" xmlns:xsi="http://www.w3.org/2001/XMLSchema-instance" xsi:type="dcterms:W3CDTF">2025-11-23T10:17:13Z</dcterms:modified>
</cp:coreProperties>
</file>