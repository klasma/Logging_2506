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45471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45471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45471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45471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45471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15688-2024</t>
        </is>
      </c>
      <c r="B7" s="1" t="n">
        <v>45404</v>
      </c>
      <c r="C7" s="1" t="n">
        <v>45471</v>
      </c>
      <c r="D7" t="inlineStr">
        <is>
          <t>NORRBOTTENS LÄN</t>
        </is>
      </c>
      <c r="E7" t="inlineStr">
        <is>
          <t>ARJEPLOG</t>
        </is>
      </c>
      <c r="G7" t="n">
        <v>4.1</v>
      </c>
      <c r="H7" t="n">
        <v>0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Gräddporing
Blågrå svartspik
Knottrig blåslav
Skrovellav
Stjärntagging
Bårdlav
Luddlav
Stuplav</t>
        </is>
      </c>
      <c r="S7">
        <f>HYPERLINK("https://klasma.github.io/Logging_2506/artfynd/A 15688-2024 artfynd.xlsx", "A 15688-2024")</f>
        <v/>
      </c>
      <c r="T7">
        <f>HYPERLINK("https://klasma.github.io/Logging_2506/kartor/A 15688-2024 karta.png", "A 15688-2024")</f>
        <v/>
      </c>
      <c r="V7">
        <f>HYPERLINK("https://klasma.github.io/Logging_2506/klagomål/A 15688-2024 FSC-klagomål.docx", "A 15688-2024")</f>
        <v/>
      </c>
      <c r="W7">
        <f>HYPERLINK("https://klasma.github.io/Logging_2506/klagomålsmail/A 15688-2024 FSC-klagomål mail.docx", "A 15688-2024")</f>
        <v/>
      </c>
      <c r="X7">
        <f>HYPERLINK("https://klasma.github.io/Logging_2506/tillsyn/A 15688-2024 tillsynsbegäran.docx", "A 15688-2024")</f>
        <v/>
      </c>
      <c r="Y7">
        <f>HYPERLINK("https://klasma.github.io/Logging_2506/tillsynsmail/A 15688-2024 tillsynsbegäran mail.docx", "A 15688-2024")</f>
        <v/>
      </c>
    </row>
    <row r="8" ht="15" customHeight="1">
      <c r="A8" t="inlineStr">
        <is>
          <t>A 4544-2024</t>
        </is>
      </c>
      <c r="B8" s="1" t="n">
        <v>45327</v>
      </c>
      <c r="C8" s="1" t="n">
        <v>45471</v>
      </c>
      <c r="D8" t="inlineStr">
        <is>
          <t>NORRBOTTENS LÄN</t>
        </is>
      </c>
      <c r="E8" t="inlineStr">
        <is>
          <t>ARJEPLOG</t>
        </is>
      </c>
      <c r="G8" t="n">
        <v>6</v>
      </c>
      <c r="H8" t="n">
        <v>0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Garnlav
Granticka
Knottrig blåslav
Rosenticka
Ullticka
Blodticka</t>
        </is>
      </c>
      <c r="S8">
        <f>HYPERLINK("https://klasma.github.io/Logging_2506/artfynd/A 4544-2024 artfynd.xlsx", "A 4544-2024")</f>
        <v/>
      </c>
      <c r="T8">
        <f>HYPERLINK("https://klasma.github.io/Logging_2506/kartor/A 4544-2024 karta.png", "A 4544-2024")</f>
        <v/>
      </c>
      <c r="V8">
        <f>HYPERLINK("https://klasma.github.io/Logging_2506/klagomål/A 4544-2024 FSC-klagomål.docx", "A 4544-2024")</f>
        <v/>
      </c>
      <c r="W8">
        <f>HYPERLINK("https://klasma.github.io/Logging_2506/klagomålsmail/A 4544-2024 FSC-klagomål mail.docx", "A 4544-2024")</f>
        <v/>
      </c>
      <c r="X8">
        <f>HYPERLINK("https://klasma.github.io/Logging_2506/tillsyn/A 4544-2024 tillsynsbegäran.docx", "A 4544-2024")</f>
        <v/>
      </c>
      <c r="Y8">
        <f>HYPERLINK("https://klasma.github.io/Logging_2506/tillsynsmail/A 4544-2024 tillsynsbegäran mail.docx", "A 4544-2024")</f>
        <v/>
      </c>
    </row>
    <row r="9" ht="15" customHeight="1">
      <c r="A9" t="inlineStr">
        <is>
          <t>A 59199-2021</t>
        </is>
      </c>
      <c r="B9" s="1" t="n">
        <v>44490</v>
      </c>
      <c r="C9" s="1" t="n">
        <v>45471</v>
      </c>
      <c r="D9" t="inlineStr">
        <is>
          <t>NORRBOTTENS LÄN</t>
        </is>
      </c>
      <c r="E9" t="inlineStr">
        <is>
          <t>ARJEPLOG</t>
        </is>
      </c>
      <c r="G9" t="n">
        <v>16.2</v>
      </c>
      <c r="H9" t="n">
        <v>0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Rynkskinn
Gammelgransskål
Granticka
Gränsticka
Rosenticka
Ullticka</t>
        </is>
      </c>
      <c r="S9">
        <f>HYPERLINK("https://klasma.github.io/Logging_2506/artfynd/A 59199-2021 artfynd.xlsx", "A 59199-2021")</f>
        <v/>
      </c>
      <c r="T9">
        <f>HYPERLINK("https://klasma.github.io/Logging_2506/kartor/A 59199-2021 karta.png", "A 59199-2021")</f>
        <v/>
      </c>
      <c r="V9">
        <f>HYPERLINK("https://klasma.github.io/Logging_2506/klagomål/A 59199-2021 FSC-klagomål.docx", "A 59199-2021")</f>
        <v/>
      </c>
      <c r="W9">
        <f>HYPERLINK("https://klasma.github.io/Logging_2506/klagomålsmail/A 59199-2021 FSC-klagomål mail.docx", "A 59199-2021")</f>
        <v/>
      </c>
      <c r="X9">
        <f>HYPERLINK("https://klasma.github.io/Logging_2506/tillsyn/A 59199-2021 tillsynsbegäran.docx", "A 59199-2021")</f>
        <v/>
      </c>
      <c r="Y9">
        <f>HYPERLINK("https://klasma.github.io/Logging_2506/tillsynsmail/A 59199-2021 tillsynsbegäran mail.docx", "A 59199-2021")</f>
        <v/>
      </c>
    </row>
    <row r="10" ht="15" customHeight="1">
      <c r="A10" t="inlineStr">
        <is>
          <t>A 25229-2023</t>
        </is>
      </c>
      <c r="B10" s="1" t="n">
        <v>45079</v>
      </c>
      <c r="C10" s="1" t="n">
        <v>45471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18.2</v>
      </c>
      <c r="H10" t="n">
        <v>1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6</v>
      </c>
      <c r="R10" s="2" t="inlineStr">
        <is>
          <t>Ostticka
Gammelgransskål
Granticka
Rosenticka
Rödbrun blekspik
Tretåig hackspett</t>
        </is>
      </c>
      <c r="S10">
        <f>HYPERLINK("https://klasma.github.io/Logging_2506/artfynd/A 25229-2023 artfynd.xlsx", "A 25229-2023")</f>
        <v/>
      </c>
      <c r="T10">
        <f>HYPERLINK("https://klasma.github.io/Logging_2506/kartor/A 25229-2023 karta.png", "A 25229-2023")</f>
        <v/>
      </c>
      <c r="V10">
        <f>HYPERLINK("https://klasma.github.io/Logging_2506/klagomål/A 25229-2023 FSC-klagomål.docx", "A 25229-2023")</f>
        <v/>
      </c>
      <c r="W10">
        <f>HYPERLINK("https://klasma.github.io/Logging_2506/klagomålsmail/A 25229-2023 FSC-klagomål mail.docx", "A 25229-2023")</f>
        <v/>
      </c>
      <c r="X10">
        <f>HYPERLINK("https://klasma.github.io/Logging_2506/tillsyn/A 25229-2023 tillsynsbegäran.docx", "A 25229-2023")</f>
        <v/>
      </c>
      <c r="Y10">
        <f>HYPERLINK("https://klasma.github.io/Logging_2506/tillsynsmail/A 25229-2023 tillsynsbegäran mail.docx", "A 25229-2023")</f>
        <v/>
      </c>
      <c r="Z10">
        <f>HYPERLINK("https://klasma.github.io/Logging_2506/fåglar/A 25229-2023 prioriterade fågelarter.docx", "A 25229-2023")</f>
        <v/>
      </c>
    </row>
    <row r="11" ht="15" customHeight="1">
      <c r="A11" t="inlineStr">
        <is>
          <t>A 47035-2022</t>
        </is>
      </c>
      <c r="B11" s="1" t="n">
        <v>44851</v>
      </c>
      <c r="C11" s="1" t="n">
        <v>45471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15.9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Månlåsbräken
Grönkulla
Spindelblomster
Tibast
Brudsporre</t>
        </is>
      </c>
      <c r="S11">
        <f>HYPERLINK("https://klasma.github.io/Logging_2506/artfynd/A 47035-2022 artfynd.xlsx", "A 47035-2022")</f>
        <v/>
      </c>
      <c r="T11">
        <f>HYPERLINK("https://klasma.github.io/Logging_2506/kartor/A 47035-2022 karta.png", "A 47035-2022")</f>
        <v/>
      </c>
      <c r="V11">
        <f>HYPERLINK("https://klasma.github.io/Logging_2506/klagomål/A 47035-2022 FSC-klagomål.docx", "A 47035-2022")</f>
        <v/>
      </c>
      <c r="W11">
        <f>HYPERLINK("https://klasma.github.io/Logging_2506/klagomålsmail/A 47035-2022 FSC-klagomål mail.docx", "A 47035-2022")</f>
        <v/>
      </c>
      <c r="X11">
        <f>HYPERLINK("https://klasma.github.io/Logging_2506/tillsyn/A 47035-2022 tillsynsbegäran.docx", "A 47035-2022")</f>
        <v/>
      </c>
      <c r="Y11">
        <f>HYPERLINK("https://klasma.github.io/Logging_2506/tillsynsmail/A 47035-2022 tillsynsbegäran mail.docx", "A 47035-2022")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45471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45471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45471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10525-2024</t>
        </is>
      </c>
      <c r="B15" s="1" t="n">
        <v>45366</v>
      </c>
      <c r="C15" s="1" t="n">
        <v>45471</v>
      </c>
      <c r="D15" t="inlineStr">
        <is>
          <t>NORRBOTTENS LÄN</t>
        </is>
      </c>
      <c r="E15" t="inlineStr">
        <is>
          <t>ARJEPLOG</t>
        </is>
      </c>
      <c r="G15" t="n">
        <v>15.5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Korallrot
Spindelblomster
Ögonpyrola</t>
        </is>
      </c>
      <c r="S15">
        <f>HYPERLINK("https://klasma.github.io/Logging_2506/artfynd/A 10525-2024 artfynd.xlsx", "A 10525-2024")</f>
        <v/>
      </c>
      <c r="T15">
        <f>HYPERLINK("https://klasma.github.io/Logging_2506/kartor/A 10525-2024 karta.png", "A 10525-2024")</f>
        <v/>
      </c>
      <c r="V15">
        <f>HYPERLINK("https://klasma.github.io/Logging_2506/klagomål/A 10525-2024 FSC-klagomål.docx", "A 10525-2024")</f>
        <v/>
      </c>
      <c r="W15">
        <f>HYPERLINK("https://klasma.github.io/Logging_2506/klagomålsmail/A 10525-2024 FSC-klagomål mail.docx", "A 10525-2024")</f>
        <v/>
      </c>
      <c r="X15">
        <f>HYPERLINK("https://klasma.github.io/Logging_2506/tillsyn/A 10525-2024 tillsynsbegäran.docx", "A 10525-2024")</f>
        <v/>
      </c>
      <c r="Y15">
        <f>HYPERLINK("https://klasma.github.io/Logging_2506/tillsynsmail/A 10525-2024 tillsynsbegäran mail.docx", "A 10525-2024")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45471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45471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45471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45471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45471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26089-2024</t>
        </is>
      </c>
      <c r="B21" s="1" t="n">
        <v>45467</v>
      </c>
      <c r="C21" s="1" t="n">
        <v>45471</v>
      </c>
      <c r="D21" t="inlineStr">
        <is>
          <t>NORRBOTTENS LÄN</t>
        </is>
      </c>
      <c r="E21" t="inlineStr">
        <is>
          <t>ARJEPLOG</t>
        </is>
      </c>
      <c r="F21" t="inlineStr">
        <is>
          <t>Sveaskog</t>
        </is>
      </c>
      <c r="G21" t="n">
        <v>40.1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Fläckporing
Gräddporing</t>
        </is>
      </c>
      <c r="S21">
        <f>HYPERLINK("https://klasma.github.io/Logging_2506/artfynd/A 26089-2024 artfynd.xlsx", "A 26089-2024")</f>
        <v/>
      </c>
      <c r="T21">
        <f>HYPERLINK("https://klasma.github.io/Logging_2506/kartor/A 26089-2024 karta.png", "A 26089-2024")</f>
        <v/>
      </c>
      <c r="V21">
        <f>HYPERLINK("https://klasma.github.io/Logging_2506/klagomål/A 26089-2024 FSC-klagomål.docx", "A 26089-2024")</f>
        <v/>
      </c>
      <c r="W21">
        <f>HYPERLINK("https://klasma.github.io/Logging_2506/klagomålsmail/A 26089-2024 FSC-klagomål mail.docx", "A 26089-2024")</f>
        <v/>
      </c>
      <c r="X21">
        <f>HYPERLINK("https://klasma.github.io/Logging_2506/tillsyn/A 26089-2024 tillsynsbegäran.docx", "A 26089-2024")</f>
        <v/>
      </c>
      <c r="Y21">
        <f>HYPERLINK("https://klasma.github.io/Logging_2506/tillsynsmail/A 26089-2024 tillsynsbegäran mail.docx", "A 26089-2024")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45471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45471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30592-2023</t>
        </is>
      </c>
      <c r="B24" s="1" t="n">
        <v>45112</v>
      </c>
      <c r="C24" s="1" t="n">
        <v>45471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19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HYPERLINK("https://klasma.github.io/Logging_2506/artfynd/A 30592-2023 artfynd.xlsx", "A 30592-2023")</f>
        <v/>
      </c>
      <c r="T24">
        <f>HYPERLINK("https://klasma.github.io/Logging_2506/kartor/A 30592-2023 karta.png", "A 30592-2023")</f>
        <v/>
      </c>
      <c r="V24">
        <f>HYPERLINK("https://klasma.github.io/Logging_2506/klagomål/A 30592-2023 FSC-klagomål.docx", "A 30592-2023")</f>
        <v/>
      </c>
      <c r="W24">
        <f>HYPERLINK("https://klasma.github.io/Logging_2506/klagomålsmail/A 30592-2023 FSC-klagomål mail.docx", "A 30592-2023")</f>
        <v/>
      </c>
      <c r="X24">
        <f>HYPERLINK("https://klasma.github.io/Logging_2506/tillsyn/A 30592-2023 tillsynsbegäran.docx", "A 30592-2023")</f>
        <v/>
      </c>
      <c r="Y24">
        <f>HYPERLINK("https://klasma.github.io/Logging_2506/tillsynsmail/A 30592-2023 tillsynsbegäran mail.docx", "A 30592-2023")</f>
        <v/>
      </c>
      <c r="Z24">
        <f>HYPERLINK("https://klasma.github.io/Logging_2506/fåglar/A 30592-2023 prioriterade fågelarter.docx", "A 30592-2023")</f>
        <v/>
      </c>
    </row>
    <row r="25" ht="15" customHeight="1">
      <c r="A25" t="inlineStr">
        <is>
          <t>A 21344-2019</t>
        </is>
      </c>
      <c r="B25" s="1" t="n">
        <v>43579</v>
      </c>
      <c r="C25" s="1" t="n">
        <v>45471</v>
      </c>
      <c r="D25" t="inlineStr">
        <is>
          <t>NORRBOTTENS LÄN</t>
        </is>
      </c>
      <c r="E25" t="inlineStr">
        <is>
          <t>ARJEPLOG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25107-2019</t>
        </is>
      </c>
      <c r="B26" s="1" t="n">
        <v>43600</v>
      </c>
      <c r="C26" s="1" t="n">
        <v>45471</v>
      </c>
      <c r="D26" t="inlineStr">
        <is>
          <t>NORRBOTTENS LÄN</t>
        </is>
      </c>
      <c r="E26" t="inlineStr">
        <is>
          <t>ARJEPLOG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24943-2019</t>
        </is>
      </c>
      <c r="B27" s="1" t="n">
        <v>43602</v>
      </c>
      <c r="C27" s="1" t="n">
        <v>45471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19.5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26099-2019</t>
        </is>
      </c>
      <c r="B28" s="1" t="n">
        <v>43605</v>
      </c>
      <c r="C28" s="1" t="n">
        <v>45471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40.2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28869-2019</t>
        </is>
      </c>
      <c r="B29" s="1" t="n">
        <v>43616</v>
      </c>
      <c r="C29" s="1" t="n">
        <v>45471</v>
      </c>
      <c r="D29" t="inlineStr">
        <is>
          <t>NORRBOTTENS LÄN</t>
        </is>
      </c>
      <c r="E29" t="inlineStr">
        <is>
          <t>ARJEPLOG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29502-2019</t>
        </is>
      </c>
      <c r="B30" s="1" t="n">
        <v>43627</v>
      </c>
      <c r="C30" s="1" t="n">
        <v>45471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32493-2019</t>
        </is>
      </c>
      <c r="B31" s="1" t="n">
        <v>43644</v>
      </c>
      <c r="C31" s="1" t="n">
        <v>45471</v>
      </c>
      <c r="D31" t="inlineStr">
        <is>
          <t>NORRBOTTENS LÄN</t>
        </is>
      </c>
      <c r="E31" t="inlineStr">
        <is>
          <t>ARJEPLOG</t>
        </is>
      </c>
      <c r="F31" t="inlineStr">
        <is>
          <t>SCA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35842-2019</t>
        </is>
      </c>
      <c r="B32" s="1" t="n">
        <v>43665</v>
      </c>
      <c r="C32" s="1" t="n">
        <v>45471</v>
      </c>
      <c r="D32" t="inlineStr">
        <is>
          <t>NORRBOTTENS LÄN</t>
        </is>
      </c>
      <c r="E32" t="inlineStr">
        <is>
          <t>ARJEPLOG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40255-2019</t>
        </is>
      </c>
      <c r="B33" s="1" t="n">
        <v>43695</v>
      </c>
      <c r="C33" s="1" t="n">
        <v>45471</v>
      </c>
      <c r="D33" t="inlineStr">
        <is>
          <t>NORRBOTTENS LÄN</t>
        </is>
      </c>
      <c r="E33" t="inlineStr">
        <is>
          <t>ARJEPLOG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41772-2019</t>
        </is>
      </c>
      <c r="B34" s="1" t="n">
        <v>43699</v>
      </c>
      <c r="C34" s="1" t="n">
        <v>45471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17.1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41774-2019</t>
        </is>
      </c>
      <c r="B35" s="1" t="n">
        <v>43699</v>
      </c>
      <c r="C35" s="1" t="n">
        <v>45471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42077-2019</t>
        </is>
      </c>
      <c r="B36" s="1" t="n">
        <v>43700</v>
      </c>
      <c r="C36" s="1" t="n">
        <v>45471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17.1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42333-2019</t>
        </is>
      </c>
      <c r="B37" s="1" t="n">
        <v>43703</v>
      </c>
      <c r="C37" s="1" t="n">
        <v>45471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49149-2019</t>
        </is>
      </c>
      <c r="B38" s="1" t="n">
        <v>43728</v>
      </c>
      <c r="C38" s="1" t="n">
        <v>45471</v>
      </c>
      <c r="D38" t="inlineStr">
        <is>
          <t>NORRBOTTENS LÄN</t>
        </is>
      </c>
      <c r="E38" t="inlineStr">
        <is>
          <t>ARJEPLOG</t>
        </is>
      </c>
      <c r="F38" t="inlineStr">
        <is>
          <t>Allmännings- och besparingsskogar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49218-2019</t>
        </is>
      </c>
      <c r="B39" s="1" t="n">
        <v>43731</v>
      </c>
      <c r="C39" s="1" t="n">
        <v>45471</v>
      </c>
      <c r="D39" t="inlineStr">
        <is>
          <t>NORRBOTTENS LÄN</t>
        </is>
      </c>
      <c r="E39" t="inlineStr">
        <is>
          <t>ARJEPLOG</t>
        </is>
      </c>
      <c r="F39" t="inlineStr">
        <is>
          <t>Allmännings- och besparingsskogar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59550-2019</t>
        </is>
      </c>
      <c r="B40" s="1" t="n">
        <v>43776</v>
      </c>
      <c r="C40" s="1" t="n">
        <v>45471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65220-2019</t>
        </is>
      </c>
      <c r="B41" s="1" t="n">
        <v>43797</v>
      </c>
      <c r="C41" s="1" t="n">
        <v>45471</v>
      </c>
      <c r="D41" t="inlineStr">
        <is>
          <t>NORRBOTTENS LÄN</t>
        </is>
      </c>
      <c r="E41" t="inlineStr">
        <is>
          <t>ARJEPLOG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65894-2019</t>
        </is>
      </c>
      <c r="B42" s="1" t="n">
        <v>43798</v>
      </c>
      <c r="C42" s="1" t="n">
        <v>45471</v>
      </c>
      <c r="D42" t="inlineStr">
        <is>
          <t>NORRBOTTENS LÄN</t>
        </is>
      </c>
      <c r="E42" t="inlineStr">
        <is>
          <t>ARJEPLOG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66484-2019</t>
        </is>
      </c>
      <c r="B43" s="1" t="n">
        <v>43803</v>
      </c>
      <c r="C43" s="1" t="n">
        <v>45471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816-2020</t>
        </is>
      </c>
      <c r="B44" s="1" t="n">
        <v>43838</v>
      </c>
      <c r="C44" s="1" t="n">
        <v>45471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815-2020</t>
        </is>
      </c>
      <c r="B45" s="1" t="n">
        <v>43838</v>
      </c>
      <c r="C45" s="1" t="n">
        <v>45471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11303-2020</t>
        </is>
      </c>
      <c r="B46" s="1" t="n">
        <v>43892</v>
      </c>
      <c r="C46" s="1" t="n">
        <v>45471</v>
      </c>
      <c r="D46" t="inlineStr">
        <is>
          <t>NORRBOTTENS LÄN</t>
        </is>
      </c>
      <c r="E46" t="inlineStr">
        <is>
          <t>ARJEPLOG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17204-2020</t>
        </is>
      </c>
      <c r="B47" s="1" t="n">
        <v>43913</v>
      </c>
      <c r="C47" s="1" t="n">
        <v>45471</v>
      </c>
      <c r="D47" t="inlineStr">
        <is>
          <t>NORRBOTTENS LÄN</t>
        </is>
      </c>
      <c r="E47" t="inlineStr">
        <is>
          <t>ARJEPLOG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17025-2020</t>
        </is>
      </c>
      <c r="B48" s="1" t="n">
        <v>43913</v>
      </c>
      <c r="C48" s="1" t="n">
        <v>45471</v>
      </c>
      <c r="D48" t="inlineStr">
        <is>
          <t>NORRBOTTENS LÄN</t>
        </is>
      </c>
      <c r="E48" t="inlineStr">
        <is>
          <t>ARJEPLOG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17208-2020</t>
        </is>
      </c>
      <c r="B49" s="1" t="n">
        <v>43914</v>
      </c>
      <c r="C49" s="1" t="n">
        <v>45471</v>
      </c>
      <c r="D49" t="inlineStr">
        <is>
          <t>NORRBOTTENS LÄN</t>
        </is>
      </c>
      <c r="E49" t="inlineStr">
        <is>
          <t>ARJEPLOG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17244-2020</t>
        </is>
      </c>
      <c r="B50" s="1" t="n">
        <v>43914</v>
      </c>
      <c r="C50" s="1" t="n">
        <v>45471</v>
      </c>
      <c r="D50" t="inlineStr">
        <is>
          <t>NORRBOTTENS LÄN</t>
        </is>
      </c>
      <c r="E50" t="inlineStr">
        <is>
          <t>ARJEPLOG</t>
        </is>
      </c>
      <c r="G50" t="n">
        <v>18.3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17744-2020</t>
        </is>
      </c>
      <c r="B51" s="1" t="n">
        <v>43914</v>
      </c>
      <c r="C51" s="1" t="n">
        <v>45471</v>
      </c>
      <c r="D51" t="inlineStr">
        <is>
          <t>NORRBOTTENS LÄN</t>
        </is>
      </c>
      <c r="E51" t="inlineStr">
        <is>
          <t>ARJEPLOG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17761-2020</t>
        </is>
      </c>
      <c r="B52" s="1" t="n">
        <v>43914</v>
      </c>
      <c r="C52" s="1" t="n">
        <v>45471</v>
      </c>
      <c r="D52" t="inlineStr">
        <is>
          <t>NORRBOTTENS LÄN</t>
        </is>
      </c>
      <c r="E52" t="inlineStr">
        <is>
          <t>ARJEPLOG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25139-2020</t>
        </is>
      </c>
      <c r="B53" s="1" t="n">
        <v>43979</v>
      </c>
      <c r="C53" s="1" t="n">
        <v>45471</v>
      </c>
      <c r="D53" t="inlineStr">
        <is>
          <t>NORRBOTTENS LÄN</t>
        </is>
      </c>
      <c r="E53" t="inlineStr">
        <is>
          <t>ARJEPLOG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30397-2020</t>
        </is>
      </c>
      <c r="B54" s="1" t="n">
        <v>44007</v>
      </c>
      <c r="C54" s="1" t="n">
        <v>45471</v>
      </c>
      <c r="D54" t="inlineStr">
        <is>
          <t>NORRBOTTENS LÄN</t>
        </is>
      </c>
      <c r="E54" t="inlineStr">
        <is>
          <t>ARJEPLOG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33219-2020</t>
        </is>
      </c>
      <c r="B55" s="1" t="n">
        <v>44020</v>
      </c>
      <c r="C55" s="1" t="n">
        <v>45471</v>
      </c>
      <c r="D55" t="inlineStr">
        <is>
          <t>NORRBOTTENS LÄN</t>
        </is>
      </c>
      <c r="E55" t="inlineStr">
        <is>
          <t>ARJEPLOG</t>
        </is>
      </c>
      <c r="F55" t="inlineStr">
        <is>
          <t>Allmännings- och besparingsskogar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33717-2020</t>
        </is>
      </c>
      <c r="B56" s="1" t="n">
        <v>44026</v>
      </c>
      <c r="C56" s="1" t="n">
        <v>45471</v>
      </c>
      <c r="D56" t="inlineStr">
        <is>
          <t>NORRBOTTENS LÄN</t>
        </is>
      </c>
      <c r="E56" t="inlineStr">
        <is>
          <t>ARJEPLOG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33720-2020</t>
        </is>
      </c>
      <c r="B57" s="1" t="n">
        <v>44026</v>
      </c>
      <c r="C57" s="1" t="n">
        <v>45471</v>
      </c>
      <c r="D57" t="inlineStr">
        <is>
          <t>NORRBOTTENS LÄN</t>
        </is>
      </c>
      <c r="E57" t="inlineStr">
        <is>
          <t>ARJEPLOG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61272-2020</t>
        </is>
      </c>
      <c r="B58" s="1" t="n">
        <v>44154</v>
      </c>
      <c r="C58" s="1" t="n">
        <v>45471</v>
      </c>
      <c r="D58" t="inlineStr">
        <is>
          <t>NORRBOTTENS LÄN</t>
        </is>
      </c>
      <c r="E58" t="inlineStr">
        <is>
          <t>ARJEPLOG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61050-2020</t>
        </is>
      </c>
      <c r="B59" s="1" t="n">
        <v>44154</v>
      </c>
      <c r="C59" s="1" t="n">
        <v>45471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17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64857-2020</t>
        </is>
      </c>
      <c r="B60" s="1" t="n">
        <v>44171</v>
      </c>
      <c r="C60" s="1" t="n">
        <v>45471</v>
      </c>
      <c r="D60" t="inlineStr">
        <is>
          <t>NORRBOTTENS LÄN</t>
        </is>
      </c>
      <c r="E60" t="inlineStr">
        <is>
          <t>ARJEPLOG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8727-2021</t>
        </is>
      </c>
      <c r="B61" s="1" t="n">
        <v>44246</v>
      </c>
      <c r="C61" s="1" t="n">
        <v>45471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8721-2021</t>
        </is>
      </c>
      <c r="B62" s="1" t="n">
        <v>44246</v>
      </c>
      <c r="C62" s="1" t="n">
        <v>45471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48.3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14375-2021</t>
        </is>
      </c>
      <c r="B63" s="1" t="n">
        <v>44279</v>
      </c>
      <c r="C63" s="1" t="n">
        <v>45471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60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31439-2021</t>
        </is>
      </c>
      <c r="B64" s="1" t="n">
        <v>44369</v>
      </c>
      <c r="C64" s="1" t="n">
        <v>45471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34810-2021</t>
        </is>
      </c>
      <c r="B65" s="1" t="n">
        <v>44382</v>
      </c>
      <c r="C65" s="1" t="n">
        <v>45471</v>
      </c>
      <c r="D65" t="inlineStr">
        <is>
          <t>NORRBOTTENS LÄN</t>
        </is>
      </c>
      <c r="E65" t="inlineStr">
        <is>
          <t>ARJEPLOG</t>
        </is>
      </c>
      <c r="G65" t="n">
        <v>19.9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41799-2021</t>
        </is>
      </c>
      <c r="B66" s="1" t="n">
        <v>44425</v>
      </c>
      <c r="C66" s="1" t="n">
        <v>45471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46585-2021</t>
        </is>
      </c>
      <c r="B67" s="1" t="n">
        <v>44445</v>
      </c>
      <c r="C67" s="1" t="n">
        <v>45471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54589-2021</t>
        </is>
      </c>
      <c r="B68" s="1" t="n">
        <v>44473</v>
      </c>
      <c r="C68" s="1" t="n">
        <v>45471</v>
      </c>
      <c r="D68" t="inlineStr">
        <is>
          <t>NORRBOTTENS LÄN</t>
        </is>
      </c>
      <c r="E68" t="inlineStr">
        <is>
          <t>ARJEPLOG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55422-2021</t>
        </is>
      </c>
      <c r="B69" s="1" t="n">
        <v>44475</v>
      </c>
      <c r="C69" s="1" t="n">
        <v>45471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56275-2021</t>
        </is>
      </c>
      <c r="B70" s="1" t="n">
        <v>44479</v>
      </c>
      <c r="C70" s="1" t="n">
        <v>45471</v>
      </c>
      <c r="D70" t="inlineStr">
        <is>
          <t>NORRBOTTENS LÄN</t>
        </is>
      </c>
      <c r="E70" t="inlineStr">
        <is>
          <t>ARJEPLOG</t>
        </is>
      </c>
      <c r="G70" t="n">
        <v>16.2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56274-2021</t>
        </is>
      </c>
      <c r="B71" s="1" t="n">
        <v>44479</v>
      </c>
      <c r="C71" s="1" t="n">
        <v>45471</v>
      </c>
      <c r="D71" t="inlineStr">
        <is>
          <t>NORRBOTTENS LÄN</t>
        </is>
      </c>
      <c r="E71" t="inlineStr">
        <is>
          <t>ARJEPLOG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56278-2021</t>
        </is>
      </c>
      <c r="B72" s="1" t="n">
        <v>44479</v>
      </c>
      <c r="C72" s="1" t="n">
        <v>45471</v>
      </c>
      <c r="D72" t="inlineStr">
        <is>
          <t>NORRBOTTENS LÄN</t>
        </is>
      </c>
      <c r="E72" t="inlineStr">
        <is>
          <t>ARJEPLOG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56276-2021</t>
        </is>
      </c>
      <c r="B73" s="1" t="n">
        <v>44479</v>
      </c>
      <c r="C73" s="1" t="n">
        <v>45471</v>
      </c>
      <c r="D73" t="inlineStr">
        <is>
          <t>NORRBOTTENS LÄN</t>
        </is>
      </c>
      <c r="E73" t="inlineStr">
        <is>
          <t>ARJEPLOG</t>
        </is>
      </c>
      <c r="G73" t="n">
        <v>19.8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56277-2021</t>
        </is>
      </c>
      <c r="B74" s="1" t="n">
        <v>44479</v>
      </c>
      <c r="C74" s="1" t="n">
        <v>45471</v>
      </c>
      <c r="D74" t="inlineStr">
        <is>
          <t>NORRBOTTENS LÄN</t>
        </is>
      </c>
      <c r="E74" t="inlineStr">
        <is>
          <t>ARJEPLOG</t>
        </is>
      </c>
      <c r="G74" t="n">
        <v>19.4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58879-2021</t>
        </is>
      </c>
      <c r="B75" s="1" t="n">
        <v>44489</v>
      </c>
      <c r="C75" s="1" t="n">
        <v>45471</v>
      </c>
      <c r="D75" t="inlineStr">
        <is>
          <t>NORRBOTTENS LÄN</t>
        </is>
      </c>
      <c r="E75" t="inlineStr">
        <is>
          <t>ARJEPLOG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66844-2021</t>
        </is>
      </c>
      <c r="B76" s="1" t="n">
        <v>44520</v>
      </c>
      <c r="C76" s="1" t="n">
        <v>45471</v>
      </c>
      <c r="D76" t="inlineStr">
        <is>
          <t>NORRBOTTENS LÄN</t>
        </is>
      </c>
      <c r="E76" t="inlineStr">
        <is>
          <t>ARJEPLOG</t>
        </is>
      </c>
      <c r="G76" t="n">
        <v>44.8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70865-2021</t>
        </is>
      </c>
      <c r="B77" s="1" t="n">
        <v>44537</v>
      </c>
      <c r="C77" s="1" t="n">
        <v>45471</v>
      </c>
      <c r="D77" t="inlineStr">
        <is>
          <t>NORRBOTTENS LÄN</t>
        </is>
      </c>
      <c r="E77" t="inlineStr">
        <is>
          <t>ARJEPLOG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72279-2021</t>
        </is>
      </c>
      <c r="B78" s="1" t="n">
        <v>44543</v>
      </c>
      <c r="C78" s="1" t="n">
        <v>45471</v>
      </c>
      <c r="D78" t="inlineStr">
        <is>
          <t>NORRBOTTENS LÄN</t>
        </is>
      </c>
      <c r="E78" t="inlineStr">
        <is>
          <t>ARJEPLOG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73880-2021</t>
        </is>
      </c>
      <c r="B79" s="1" t="n">
        <v>44552</v>
      </c>
      <c r="C79" s="1" t="n">
        <v>45471</v>
      </c>
      <c r="D79" t="inlineStr">
        <is>
          <t>NORRBOTTENS LÄN</t>
        </is>
      </c>
      <c r="E79" t="inlineStr">
        <is>
          <t>ARJEPLOG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12789-2022</t>
        </is>
      </c>
      <c r="B80" s="1" t="n">
        <v>44642</v>
      </c>
      <c r="C80" s="1" t="n">
        <v>45471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56.1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19514-2022</t>
        </is>
      </c>
      <c r="B81" s="1" t="n">
        <v>44693</v>
      </c>
      <c r="C81" s="1" t="n">
        <v>45471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19620-2022</t>
        </is>
      </c>
      <c r="B82" s="1" t="n">
        <v>44694</v>
      </c>
      <c r="C82" s="1" t="n">
        <v>45471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20789-2022</t>
        </is>
      </c>
      <c r="B83" s="1" t="n">
        <v>44701</v>
      </c>
      <c r="C83" s="1" t="n">
        <v>45471</v>
      </c>
      <c r="D83" t="inlineStr">
        <is>
          <t>NORRBOTTENS LÄN</t>
        </is>
      </c>
      <c r="E83" t="inlineStr">
        <is>
          <t>ARJEPLOG</t>
        </is>
      </c>
      <c r="G83" t="n">
        <v>20.3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21004-2022</t>
        </is>
      </c>
      <c r="B84" s="1" t="n">
        <v>44701</v>
      </c>
      <c r="C84" s="1" t="n">
        <v>45471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25559-2022</t>
        </is>
      </c>
      <c r="B85" s="1" t="n">
        <v>44732</v>
      </c>
      <c r="C85" s="1" t="n">
        <v>45471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26773-2022</t>
        </is>
      </c>
      <c r="B86" s="1" t="n">
        <v>44732</v>
      </c>
      <c r="C86" s="1" t="n">
        <v>45471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28354-2022</t>
        </is>
      </c>
      <c r="B87" s="1" t="n">
        <v>44735</v>
      </c>
      <c r="C87" s="1" t="n">
        <v>45471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26811-2022</t>
        </is>
      </c>
      <c r="B88" s="1" t="n">
        <v>44735</v>
      </c>
      <c r="C88" s="1" t="n">
        <v>45471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28358-2022</t>
        </is>
      </c>
      <c r="B89" s="1" t="n">
        <v>44735</v>
      </c>
      <c r="C89" s="1" t="n">
        <v>45471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27092-2022</t>
        </is>
      </c>
      <c r="B90" s="1" t="n">
        <v>44741</v>
      </c>
      <c r="C90" s="1" t="n">
        <v>45471</v>
      </c>
      <c r="D90" t="inlineStr">
        <is>
          <t>NORRBOTTENS LÄN</t>
        </is>
      </c>
      <c r="E90" t="inlineStr">
        <is>
          <t>ARJEPLOG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41007-2022</t>
        </is>
      </c>
      <c r="B91" s="1" t="n">
        <v>44823</v>
      </c>
      <c r="C91" s="1" t="n">
        <v>45471</v>
      </c>
      <c r="D91" t="inlineStr">
        <is>
          <t>NORRBOTTENS LÄN</t>
        </is>
      </c>
      <c r="E91" t="inlineStr">
        <is>
          <t>ARJEPLOG</t>
        </is>
      </c>
      <c r="G91" t="n">
        <v>32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42274-2022</t>
        </is>
      </c>
      <c r="B92" s="1" t="n">
        <v>44830</v>
      </c>
      <c r="C92" s="1" t="n">
        <v>45471</v>
      </c>
      <c r="D92" t="inlineStr">
        <is>
          <t>NORRBOTTENS LÄN</t>
        </is>
      </c>
      <c r="E92" t="inlineStr">
        <is>
          <t>ARJEPLOG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43045-2022</t>
        </is>
      </c>
      <c r="B93" s="1" t="n">
        <v>44833</v>
      </c>
      <c r="C93" s="1" t="n">
        <v>45471</v>
      </c>
      <c r="D93" t="inlineStr">
        <is>
          <t>NORRBOTTENS LÄN</t>
        </is>
      </c>
      <c r="E93" t="inlineStr">
        <is>
          <t>ARJEPLOG</t>
        </is>
      </c>
      <c r="G93" t="n">
        <v>49.2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44751-2022</t>
        </is>
      </c>
      <c r="B94" s="1" t="n">
        <v>44840</v>
      </c>
      <c r="C94" s="1" t="n">
        <v>45471</v>
      </c>
      <c r="D94" t="inlineStr">
        <is>
          <t>NORRBOTTENS LÄN</t>
        </is>
      </c>
      <c r="E94" t="inlineStr">
        <is>
          <t>ARJEPLOG</t>
        </is>
      </c>
      <c r="F94" t="inlineStr">
        <is>
          <t>SCA</t>
        </is>
      </c>
      <c r="G94" t="n">
        <v>26.1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46093-2022</t>
        </is>
      </c>
      <c r="B95" s="1" t="n">
        <v>44845</v>
      </c>
      <c r="C95" s="1" t="n">
        <v>45471</v>
      </c>
      <c r="D95" t="inlineStr">
        <is>
          <t>NORRBOTTENS LÄN</t>
        </is>
      </c>
      <c r="E95" t="inlineStr">
        <is>
          <t>ARJEPLOG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52573-2022</t>
        </is>
      </c>
      <c r="B96" s="1" t="n">
        <v>44874</v>
      </c>
      <c r="C96" s="1" t="n">
        <v>45471</v>
      </c>
      <c r="D96" t="inlineStr">
        <is>
          <t>NORRBOTTENS LÄN</t>
        </is>
      </c>
      <c r="E96" t="inlineStr">
        <is>
          <t>ARJEPLOG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52581-2022</t>
        </is>
      </c>
      <c r="B97" s="1" t="n">
        <v>44874</v>
      </c>
      <c r="C97" s="1" t="n">
        <v>45471</v>
      </c>
      <c r="D97" t="inlineStr">
        <is>
          <t>NORRBOTTENS LÄN</t>
        </is>
      </c>
      <c r="E97" t="inlineStr">
        <is>
          <t>ARJEPLOG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8625-2023</t>
        </is>
      </c>
      <c r="B98" s="1" t="n">
        <v>44977</v>
      </c>
      <c r="C98" s="1" t="n">
        <v>45471</v>
      </c>
      <c r="D98" t="inlineStr">
        <is>
          <t>NORRBOTTENS LÄN</t>
        </is>
      </c>
      <c r="E98" t="inlineStr">
        <is>
          <t>ARJEPLOG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12656-2023</t>
        </is>
      </c>
      <c r="B99" s="1" t="n">
        <v>44999</v>
      </c>
      <c r="C99" s="1" t="n">
        <v>45471</v>
      </c>
      <c r="D99" t="inlineStr">
        <is>
          <t>NORRBOTTENS LÄN</t>
        </is>
      </c>
      <c r="E99" t="inlineStr">
        <is>
          <t>ARJEPLOG</t>
        </is>
      </c>
      <c r="G99" t="n">
        <v>18.9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13590-2023</t>
        </is>
      </c>
      <c r="B100" s="1" t="n">
        <v>45005</v>
      </c>
      <c r="C100" s="1" t="n">
        <v>45471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45471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25275-2023</t>
        </is>
      </c>
      <c r="B102" s="1" t="n">
        <v>45079</v>
      </c>
      <c r="C102" s="1" t="n">
        <v>45471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25239-2023</t>
        </is>
      </c>
      <c r="B103" s="1" t="n">
        <v>45079</v>
      </c>
      <c r="C103" s="1" t="n">
        <v>45471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25270-2023</t>
        </is>
      </c>
      <c r="B104" s="1" t="n">
        <v>45079</v>
      </c>
      <c r="C104" s="1" t="n">
        <v>45471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30726-2023</t>
        </is>
      </c>
      <c r="B105" s="1" t="n">
        <v>45112</v>
      </c>
      <c r="C105" s="1" t="n">
        <v>45471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30730-2023</t>
        </is>
      </c>
      <c r="B106" s="1" t="n">
        <v>45112</v>
      </c>
      <c r="C106" s="1" t="n">
        <v>45471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45471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35806-2023</t>
        </is>
      </c>
      <c r="B108" s="1" t="n">
        <v>45147</v>
      </c>
      <c r="C108" s="1" t="n">
        <v>45471</v>
      </c>
      <c r="D108" t="inlineStr">
        <is>
          <t>NORRBOTTENS LÄN</t>
        </is>
      </c>
      <c r="E108" t="inlineStr">
        <is>
          <t>ARJEPLOG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36623-2023</t>
        </is>
      </c>
      <c r="B109" s="1" t="n">
        <v>45153</v>
      </c>
      <c r="C109" s="1" t="n">
        <v>45471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44218-2023</t>
        </is>
      </c>
      <c r="B110" s="1" t="n">
        <v>45183</v>
      </c>
      <c r="C110" s="1" t="n">
        <v>45471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45072-2023</t>
        </is>
      </c>
      <c r="B111" s="1" t="n">
        <v>45187</v>
      </c>
      <c r="C111" s="1" t="n">
        <v>45471</v>
      </c>
      <c r="D111" t="inlineStr">
        <is>
          <t>NORRBOTTENS LÄN</t>
        </is>
      </c>
      <c r="E111" t="inlineStr">
        <is>
          <t>ARJEPLOG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45064-2023</t>
        </is>
      </c>
      <c r="B112" s="1" t="n">
        <v>45187</v>
      </c>
      <c r="C112" s="1" t="n">
        <v>45471</v>
      </c>
      <c r="D112" t="inlineStr">
        <is>
          <t>NORRBOTTENS LÄN</t>
        </is>
      </c>
      <c r="E112" t="inlineStr">
        <is>
          <t>ARJEPLOG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45924-2023</t>
        </is>
      </c>
      <c r="B113" s="1" t="n">
        <v>45189</v>
      </c>
      <c r="C113" s="1" t="n">
        <v>45471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48376-2023</t>
        </is>
      </c>
      <c r="B114" s="1" t="n">
        <v>45205</v>
      </c>
      <c r="C114" s="1" t="n">
        <v>45471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Aktiebolag</t>
        </is>
      </c>
      <c r="G114" t="n">
        <v>18.3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48940-2023</t>
        </is>
      </c>
      <c r="B115" s="1" t="n">
        <v>45205</v>
      </c>
      <c r="C115" s="1" t="n">
        <v>45471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58370-2023</t>
        </is>
      </c>
      <c r="B116" s="1" t="n">
        <v>45250</v>
      </c>
      <c r="C116" s="1" t="n">
        <v>45471</v>
      </c>
      <c r="D116" t="inlineStr">
        <is>
          <t>NORRBOTTENS LÄN</t>
        </is>
      </c>
      <c r="E116" t="inlineStr">
        <is>
          <t>ARJEPLOG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59124-2023</t>
        </is>
      </c>
      <c r="B117" s="1" t="n">
        <v>45251</v>
      </c>
      <c r="C117" s="1" t="n">
        <v>45471</v>
      </c>
      <c r="D117" t="inlineStr">
        <is>
          <t>NORRBOTTENS LÄN</t>
        </is>
      </c>
      <c r="E117" t="inlineStr">
        <is>
          <t>ARJEPLOG</t>
        </is>
      </c>
      <c r="G117" t="n">
        <v>22.3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62811-2023</t>
        </is>
      </c>
      <c r="B118" s="1" t="n">
        <v>45268</v>
      </c>
      <c r="C118" s="1" t="n">
        <v>45471</v>
      </c>
      <c r="D118" t="inlineStr">
        <is>
          <t>NORRBOTTENS LÄN</t>
        </is>
      </c>
      <c r="E118" t="inlineStr">
        <is>
          <t>ARJEPLOG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62813-2023</t>
        </is>
      </c>
      <c r="B119" s="1" t="n">
        <v>45268</v>
      </c>
      <c r="C119" s="1" t="n">
        <v>45471</v>
      </c>
      <c r="D119" t="inlineStr">
        <is>
          <t>NORRBOTTENS LÄN</t>
        </is>
      </c>
      <c r="E119" t="inlineStr">
        <is>
          <t>ARJEPLOG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45471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64832-2023</t>
        </is>
      </c>
      <c r="B121" s="1" t="n">
        <v>45281</v>
      </c>
      <c r="C121" s="1" t="n">
        <v>45471</v>
      </c>
      <c r="D121" t="inlineStr">
        <is>
          <t>NORRBOTTENS LÄN</t>
        </is>
      </c>
      <c r="E121" t="inlineStr">
        <is>
          <t>ARJEPLOG</t>
        </is>
      </c>
      <c r="G121" t="n">
        <v>43.6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64809-2023</t>
        </is>
      </c>
      <c r="B122" s="1" t="n">
        <v>45281</v>
      </c>
      <c r="C122" s="1" t="n">
        <v>45471</v>
      </c>
      <c r="D122" t="inlineStr">
        <is>
          <t>NORRBOTTENS LÄN</t>
        </is>
      </c>
      <c r="E122" t="inlineStr">
        <is>
          <t>ARJEPLOG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64826-2023</t>
        </is>
      </c>
      <c r="B123" s="1" t="n">
        <v>45281</v>
      </c>
      <c r="C123" s="1" t="n">
        <v>45471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64805-2023</t>
        </is>
      </c>
      <c r="B124" s="1" t="n">
        <v>45281</v>
      </c>
      <c r="C124" s="1" t="n">
        <v>45471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64817-2023</t>
        </is>
      </c>
      <c r="B125" s="1" t="n">
        <v>45281</v>
      </c>
      <c r="C125" s="1" t="n">
        <v>45471</v>
      </c>
      <c r="D125" t="inlineStr">
        <is>
          <t>NORRBOTTENS LÄN</t>
        </is>
      </c>
      <c r="E125" t="inlineStr">
        <is>
          <t>ARJEPLOG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64822-2023</t>
        </is>
      </c>
      <c r="B126" s="1" t="n">
        <v>45281</v>
      </c>
      <c r="C126" s="1" t="n">
        <v>45471</v>
      </c>
      <c r="D126" t="inlineStr">
        <is>
          <t>NORRBOTTENS LÄN</t>
        </is>
      </c>
      <c r="E126" t="inlineStr">
        <is>
          <t>ARJEPLOG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64840-2023</t>
        </is>
      </c>
      <c r="B127" s="1" t="n">
        <v>45281</v>
      </c>
      <c r="C127" s="1" t="n">
        <v>45471</v>
      </c>
      <c r="D127" t="inlineStr">
        <is>
          <t>NORRBOTTENS LÄN</t>
        </is>
      </c>
      <c r="E127" t="inlineStr">
        <is>
          <t>ARJEPLOG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64816-2023</t>
        </is>
      </c>
      <c r="B128" s="1" t="n">
        <v>45281</v>
      </c>
      <c r="C128" s="1" t="n">
        <v>45471</v>
      </c>
      <c r="D128" t="inlineStr">
        <is>
          <t>NORRBOTTENS LÄN</t>
        </is>
      </c>
      <c r="E128" t="inlineStr">
        <is>
          <t>ARJEPLOG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45471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3006-2024</t>
        </is>
      </c>
      <c r="B130" s="1" t="n">
        <v>45315</v>
      </c>
      <c r="C130" s="1" t="n">
        <v>45471</v>
      </c>
      <c r="D130" t="inlineStr">
        <is>
          <t>NORRBOTTENS LÄN</t>
        </is>
      </c>
      <c r="E130" t="inlineStr">
        <is>
          <t>ARJEPLOG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3360-2024</t>
        </is>
      </c>
      <c r="B131" s="1" t="n">
        <v>45317</v>
      </c>
      <c r="C131" s="1" t="n">
        <v>45471</v>
      </c>
      <c r="D131" t="inlineStr">
        <is>
          <t>NORRBOTTENS LÄN</t>
        </is>
      </c>
      <c r="E131" t="inlineStr">
        <is>
          <t>ARJEPLOG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7785-2024</t>
        </is>
      </c>
      <c r="B132" s="1" t="n">
        <v>45348</v>
      </c>
      <c r="C132" s="1" t="n">
        <v>45471</v>
      </c>
      <c r="D132" t="inlineStr">
        <is>
          <t>NORRBOTTENS LÄN</t>
        </is>
      </c>
      <c r="E132" t="inlineStr">
        <is>
          <t>ARJEPLOG</t>
        </is>
      </c>
      <c r="G132" t="n">
        <v>26.7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9840-2024</t>
        </is>
      </c>
      <c r="B133" s="1" t="n">
        <v>45362</v>
      </c>
      <c r="C133" s="1" t="n">
        <v>45471</v>
      </c>
      <c r="D133" t="inlineStr">
        <is>
          <t>NORRBOTTENS LÄN</t>
        </is>
      </c>
      <c r="E133" t="inlineStr">
        <is>
          <t>ARJEPLOG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19005-2024</t>
        </is>
      </c>
      <c r="B134" s="1" t="n">
        <v>45427</v>
      </c>
      <c r="C134" s="1" t="n">
        <v>45471</v>
      </c>
      <c r="D134" t="inlineStr">
        <is>
          <t>NORRBOTTENS LÄN</t>
        </is>
      </c>
      <c r="E134" t="inlineStr">
        <is>
          <t>ARJEPLOG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19443-2024</t>
        </is>
      </c>
      <c r="B135" s="1" t="n">
        <v>45429</v>
      </c>
      <c r="C135" s="1" t="n">
        <v>45471</v>
      </c>
      <c r="D135" t="inlineStr">
        <is>
          <t>NORRBOTTENS LÄN</t>
        </is>
      </c>
      <c r="E135" t="inlineStr">
        <is>
          <t>ARJEPLOG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19452-2024</t>
        </is>
      </c>
      <c r="B136" s="1" t="n">
        <v>45429</v>
      </c>
      <c r="C136" s="1" t="n">
        <v>45471</v>
      </c>
      <c r="D136" t="inlineStr">
        <is>
          <t>NORRBOTTENS LÄN</t>
        </is>
      </c>
      <c r="E136" t="inlineStr">
        <is>
          <t>ARJEPLOG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19442-2024</t>
        </is>
      </c>
      <c r="B137" s="1" t="n">
        <v>45429</v>
      </c>
      <c r="C137" s="1" t="n">
        <v>45471</v>
      </c>
      <c r="D137" t="inlineStr">
        <is>
          <t>NORRBOTTENS LÄN</t>
        </is>
      </c>
      <c r="E137" t="inlineStr">
        <is>
          <t>ARJEPLOG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19842-2024</t>
        </is>
      </c>
      <c r="B138" s="1" t="n">
        <v>45432</v>
      </c>
      <c r="C138" s="1" t="n">
        <v>45471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23950-2024</t>
        </is>
      </c>
      <c r="B139" s="1" t="n">
        <v>45456</v>
      </c>
      <c r="C139" s="1" t="n">
        <v>45471</v>
      </c>
      <c r="D139" t="inlineStr">
        <is>
          <t>NORRBOTTENS LÄN</t>
        </is>
      </c>
      <c r="E139" t="inlineStr">
        <is>
          <t>ARJEPLOG</t>
        </is>
      </c>
      <c r="F139" t="inlineStr">
        <is>
          <t>SCA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23952-2024</t>
        </is>
      </c>
      <c r="B140" s="1" t="n">
        <v>45456</v>
      </c>
      <c r="C140" s="1" t="n">
        <v>45471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23949-2024</t>
        </is>
      </c>
      <c r="B141" s="1" t="n">
        <v>45456</v>
      </c>
      <c r="C141" s="1" t="n">
        <v>45471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26143-2024</t>
        </is>
      </c>
      <c r="B142" s="1" t="n">
        <v>45467</v>
      </c>
      <c r="C142" s="1" t="n">
        <v>45471</v>
      </c>
      <c r="D142" t="inlineStr">
        <is>
          <t>NORRBOTTENS LÄN</t>
        </is>
      </c>
      <c r="E142" t="inlineStr">
        <is>
          <t>ARJEPLOG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26126-2024</t>
        </is>
      </c>
      <c r="B143" s="1" t="n">
        <v>45467</v>
      </c>
      <c r="C143" s="1" t="n">
        <v>45471</v>
      </c>
      <c r="D143" t="inlineStr">
        <is>
          <t>NORRBOTTENS LÄN</t>
        </is>
      </c>
      <c r="E143" t="inlineStr">
        <is>
          <t>ARJEPLOG</t>
        </is>
      </c>
      <c r="G143" t="n">
        <v>26.4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26470-2024</t>
        </is>
      </c>
      <c r="B144" s="1" t="n">
        <v>45468</v>
      </c>
      <c r="C144" s="1" t="n">
        <v>45471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26479-2024</t>
        </is>
      </c>
      <c r="B145" s="1" t="n">
        <v>45468</v>
      </c>
      <c r="C145" s="1" t="n">
        <v>45471</v>
      </c>
      <c r="D145" t="inlineStr">
        <is>
          <t>NORRBOTTENS LÄN</t>
        </is>
      </c>
      <c r="E145" t="inlineStr">
        <is>
          <t>ARJEPLOG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26472-2024</t>
        </is>
      </c>
      <c r="B146" s="1" t="n">
        <v>45469</v>
      </c>
      <c r="C146" s="1" t="n">
        <v>45471</v>
      </c>
      <c r="D146" t="inlineStr">
        <is>
          <t>NORRBOTTENS LÄN</t>
        </is>
      </c>
      <c r="E146" t="inlineStr">
        <is>
          <t>ARJEPLOG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26486-2024</t>
        </is>
      </c>
      <c r="B147" s="1" t="n">
        <v>45469</v>
      </c>
      <c r="C147" s="1" t="n">
        <v>45471</v>
      </c>
      <c r="D147" t="inlineStr">
        <is>
          <t>NORRBOTTENS LÄN</t>
        </is>
      </c>
      <c r="E147" t="inlineStr">
        <is>
          <t>ARJEPLOG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26506-2024</t>
        </is>
      </c>
      <c r="B148" s="1" t="n">
        <v>45469</v>
      </c>
      <c r="C148" s="1" t="n">
        <v>45471</v>
      </c>
      <c r="D148" t="inlineStr">
        <is>
          <t>NORRBOTTENS LÄN</t>
        </is>
      </c>
      <c r="E148" t="inlineStr">
        <is>
          <t>ARJEPLOG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2024-06-28T10:04:11Z</dcterms:created>
  <dcterms:modified xmlns:dcterms="http://purl.org/dc/terms/" xmlns:xsi="http://www.w3.org/2001/XMLSchema-instance" xsi:type="dcterms:W3CDTF">2024-06-28T10:04:11Z</dcterms:modified>
</cp:coreProperties>
</file>