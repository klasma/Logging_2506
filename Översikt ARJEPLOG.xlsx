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46109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46109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46109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46109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46109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46109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46109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46109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46109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46109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46109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46109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46109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46109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46109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46109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46109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46109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46109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46109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46109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46109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46109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1478-2026</t>
        </is>
      </c>
      <c r="B25" s="1" t="n">
        <v>46033</v>
      </c>
      <c r="C25" s="1" t="n">
        <v>46109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1478-2026 artfynd.xlsx", "A 1478-2026")</f>
        <v/>
      </c>
      <c r="T25">
        <f>HYPERLINK("https://klasma.github.io/Logging_2506/kartor/A 1478-2026 karta.png", "A 1478-2026")</f>
        <v/>
      </c>
      <c r="V25">
        <f>HYPERLINK("https://klasma.github.io/Logging_2506/klagomål/A 1478-2026 FSC-klagomål.docx", "A 1478-2026")</f>
        <v/>
      </c>
      <c r="W25">
        <f>HYPERLINK("https://klasma.github.io/Logging_2506/klagomålsmail/A 1478-2026 FSC-klagomål mail.docx", "A 1478-2026")</f>
        <v/>
      </c>
      <c r="X25">
        <f>HYPERLINK("https://klasma.github.io/Logging_2506/tillsyn/A 1478-2026 tillsynsbegäran.docx", "A 1478-2026")</f>
        <v/>
      </c>
      <c r="Y25">
        <f>HYPERLINK("https://klasma.github.io/Logging_2506/tillsynsmail/A 1478-2026 tillsynsbegäran mail.docx", "A 1478-2026")</f>
        <v/>
      </c>
      <c r="Z25">
        <f>HYPERLINK("https://klasma.github.io/Logging_2506/fåglar/A 1478-2026 prioriterade fågelarter.docx", "A 1478-2026")</f>
        <v/>
      </c>
    </row>
    <row r="26" ht="15" customHeight="1">
      <c r="A26" t="inlineStr">
        <is>
          <t>A 1474-2026</t>
        </is>
      </c>
      <c r="B26" s="1" t="n">
        <v>46033</v>
      </c>
      <c r="C26" s="1" t="n">
        <v>46109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1474-2026 artfynd.xlsx", "A 1474-2026")</f>
        <v/>
      </c>
      <c r="T26">
        <f>HYPERLINK("https://klasma.github.io/Logging_2506/kartor/A 1474-2026 karta.png", "A 1474-2026")</f>
        <v/>
      </c>
      <c r="V26">
        <f>HYPERLINK("https://klasma.github.io/Logging_2506/klagomål/A 1474-2026 FSC-klagomål.docx", "A 1474-2026")</f>
        <v/>
      </c>
      <c r="W26">
        <f>HYPERLINK("https://klasma.github.io/Logging_2506/klagomålsmail/A 1474-2026 FSC-klagomål mail.docx", "A 1474-2026")</f>
        <v/>
      </c>
      <c r="X26">
        <f>HYPERLINK("https://klasma.github.io/Logging_2506/tillsyn/A 1474-2026 tillsynsbegäran.docx", "A 1474-2026")</f>
        <v/>
      </c>
      <c r="Y26">
        <f>HYPERLINK("https://klasma.github.io/Logging_2506/tillsynsmail/A 1474-2026 tillsynsbegäran mail.docx", "A 1474-2026")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46109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46109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46109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46109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46109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46109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46109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46109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46109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46109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46109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46109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46109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46109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46109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46109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46109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46109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46109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46109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46109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46109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46109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46109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46109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46109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46109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46109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46109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46109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17536-2023</t>
        </is>
      </c>
      <c r="B57" s="1" t="n">
        <v>45034</v>
      </c>
      <c r="C57" s="1" t="n">
        <v>46109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20.3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390-2026</t>
        </is>
      </c>
      <c r="B58" s="1" t="n">
        <v>46028.22915509259</v>
      </c>
      <c r="C58" s="1" t="n">
        <v>46109</v>
      </c>
      <c r="D58" t="inlineStr">
        <is>
          <t>NORRBOTTENS LÄN</t>
        </is>
      </c>
      <c r="E58" t="inlineStr">
        <is>
          <t>ARJEPLOG</t>
        </is>
      </c>
      <c r="G58" t="n">
        <v>19.5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26103-2024</t>
        </is>
      </c>
      <c r="B59" s="1" t="n">
        <v>45467</v>
      </c>
      <c r="C59" s="1" t="n">
        <v>46109</v>
      </c>
      <c r="D59" t="inlineStr">
        <is>
          <t>NORRBOTTENS LÄN</t>
        </is>
      </c>
      <c r="E59" t="inlineStr">
        <is>
          <t>ARJEPLOG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46109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20905-2025</t>
        </is>
      </c>
      <c r="B61" s="1" t="n">
        <v>45777</v>
      </c>
      <c r="C61" s="1" t="n">
        <v>46109</v>
      </c>
      <c r="D61" t="inlineStr">
        <is>
          <t>NORRBOTTENS LÄN</t>
        </is>
      </c>
      <c r="E61" t="inlineStr">
        <is>
          <t>ARJEPLOG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59887-2025</t>
        </is>
      </c>
      <c r="B62" s="1" t="n">
        <v>45993.32416666667</v>
      </c>
      <c r="C62" s="1" t="n">
        <v>46109</v>
      </c>
      <c r="D62" t="inlineStr">
        <is>
          <t>NORRBOTTENS LÄN</t>
        </is>
      </c>
      <c r="E62" t="inlineStr">
        <is>
          <t>ARJEPLOG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46109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60767-2025</t>
        </is>
      </c>
      <c r="B64" s="1" t="n">
        <v>45999.3869212963</v>
      </c>
      <c r="C64" s="1" t="n">
        <v>46109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60766-2025</t>
        </is>
      </c>
      <c r="B65" s="1" t="n">
        <v>45999.38688657407</v>
      </c>
      <c r="C65" s="1" t="n">
        <v>46109</v>
      </c>
      <c r="D65" t="inlineStr">
        <is>
          <t>NORRBOTTENS LÄN</t>
        </is>
      </c>
      <c r="E65" t="inlineStr">
        <is>
          <t>ARJEPLOG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35194-2024</t>
        </is>
      </c>
      <c r="B66" s="1" t="n">
        <v>45530</v>
      </c>
      <c r="C66" s="1" t="n">
        <v>46109</v>
      </c>
      <c r="D66" t="inlineStr">
        <is>
          <t>NORRBOTTENS LÄN</t>
        </is>
      </c>
      <c r="E66" t="inlineStr">
        <is>
          <t>ARJEPLOG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526-2025</t>
        </is>
      </c>
      <c r="B67" s="1" t="n">
        <v>45664</v>
      </c>
      <c r="C67" s="1" t="n">
        <v>46109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58989-2024</t>
        </is>
      </c>
      <c r="B68" s="1" t="n">
        <v>45636</v>
      </c>
      <c r="C68" s="1" t="n">
        <v>46109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46109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64832-2023</t>
        </is>
      </c>
      <c r="B70" s="1" t="n">
        <v>45281</v>
      </c>
      <c r="C70" s="1" t="n">
        <v>46109</v>
      </c>
      <c r="D70" t="inlineStr">
        <is>
          <t>NORRBOTTENS LÄN</t>
        </is>
      </c>
      <c r="E70" t="inlineStr">
        <is>
          <t>ARJEPLOG</t>
        </is>
      </c>
      <c r="G70" t="n">
        <v>43.6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42331-2025</t>
        </is>
      </c>
      <c r="B71" s="1" t="n">
        <v>45903</v>
      </c>
      <c r="C71" s="1" t="n">
        <v>46109</v>
      </c>
      <c r="D71" t="inlineStr">
        <is>
          <t>NORRBOTTENS LÄN</t>
        </is>
      </c>
      <c r="E71" t="inlineStr">
        <is>
          <t>ARJEPLOG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36623-2023</t>
        </is>
      </c>
      <c r="B72" s="1" t="n">
        <v>45153</v>
      </c>
      <c r="C72" s="1" t="n">
        <v>46109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16.9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46109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46109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46109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73880-2021</t>
        </is>
      </c>
      <c r="B76" s="1" t="n">
        <v>44552</v>
      </c>
      <c r="C76" s="1" t="n">
        <v>46109</v>
      </c>
      <c r="D76" t="inlineStr">
        <is>
          <t>NORRBOTTENS LÄN</t>
        </is>
      </c>
      <c r="E76" t="inlineStr">
        <is>
          <t>ARJEPLOG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38851-2025</t>
        </is>
      </c>
      <c r="B77" s="1" t="n">
        <v>45887.55271990741</v>
      </c>
      <c r="C77" s="1" t="n">
        <v>46109</v>
      </c>
      <c r="D77" t="inlineStr">
        <is>
          <t>NORRBOTTENS LÄN</t>
        </is>
      </c>
      <c r="E77" t="inlineStr">
        <is>
          <t>ARJEPLOG</t>
        </is>
      </c>
      <c r="G77" t="n">
        <v>15.2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46109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23949-2024</t>
        </is>
      </c>
      <c r="B79" s="1" t="n">
        <v>45455</v>
      </c>
      <c r="C79" s="1" t="n">
        <v>46109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46109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55422-2021</t>
        </is>
      </c>
      <c r="B81" s="1" t="n">
        <v>44475</v>
      </c>
      <c r="C81" s="1" t="n">
        <v>46109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48940-2023</t>
        </is>
      </c>
      <c r="B82" s="1" t="n">
        <v>45205</v>
      </c>
      <c r="C82" s="1" t="n">
        <v>46109</v>
      </c>
      <c r="D82" t="inlineStr">
        <is>
          <t>NORRBOTTENS LÄN</t>
        </is>
      </c>
      <c r="E82" t="inlineStr">
        <is>
          <t>ARJEPLOG</t>
        </is>
      </c>
      <c r="G82" t="n">
        <v>13.5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43045-2022</t>
        </is>
      </c>
      <c r="B83" s="1" t="n">
        <v>44833</v>
      </c>
      <c r="C83" s="1" t="n">
        <v>46109</v>
      </c>
      <c r="D83" t="inlineStr">
        <is>
          <t>NORRBOTTENS LÄN</t>
        </is>
      </c>
      <c r="E83" t="inlineStr">
        <is>
          <t>ARJEPLOG</t>
        </is>
      </c>
      <c r="G83" t="n">
        <v>24.6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46747-2025</t>
        </is>
      </c>
      <c r="B84" s="1" t="n">
        <v>45926</v>
      </c>
      <c r="C84" s="1" t="n">
        <v>46109</v>
      </c>
      <c r="D84" t="inlineStr">
        <is>
          <t>NORRBOTTENS LÄN</t>
        </is>
      </c>
      <c r="E84" t="inlineStr">
        <is>
          <t>ARJEPLOG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43045-2022</t>
        </is>
      </c>
      <c r="B85" s="1" t="n">
        <v>44833</v>
      </c>
      <c r="C85" s="1" t="n">
        <v>46109</v>
      </c>
      <c r="D85" t="inlineStr">
        <is>
          <t>NORRBOTTENS LÄN</t>
        </is>
      </c>
      <c r="E85" t="inlineStr">
        <is>
          <t>ARJEPLOG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48987-2025</t>
        </is>
      </c>
      <c r="B86" s="1" t="n">
        <v>45937.5759837963</v>
      </c>
      <c r="C86" s="1" t="n">
        <v>46109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48992-2025</t>
        </is>
      </c>
      <c r="B87" s="1" t="n">
        <v>45937.58351851852</v>
      </c>
      <c r="C87" s="1" t="n">
        <v>46109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29667-2025</t>
        </is>
      </c>
      <c r="B88" s="1" t="n">
        <v>45825</v>
      </c>
      <c r="C88" s="1" t="n">
        <v>46109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10476-2026</t>
        </is>
      </c>
      <c r="B89" s="1" t="n">
        <v>46076</v>
      </c>
      <c r="C89" s="1" t="n">
        <v>46109</v>
      </c>
      <c r="D89" t="inlineStr">
        <is>
          <t>NORRBOTTENS LÄN</t>
        </is>
      </c>
      <c r="E89" t="inlineStr">
        <is>
          <t>ARJEPLOG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31104-2025</t>
        </is>
      </c>
      <c r="B90" s="1" t="n">
        <v>45832.60090277778</v>
      </c>
      <c r="C90" s="1" t="n">
        <v>46109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25275-2023</t>
        </is>
      </c>
      <c r="B91" s="1" t="n">
        <v>45079</v>
      </c>
      <c r="C91" s="1" t="n">
        <v>46109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53822-2024</t>
        </is>
      </c>
      <c r="B92" s="1" t="n">
        <v>45614</v>
      </c>
      <c r="C92" s="1" t="n">
        <v>46109</v>
      </c>
      <c r="D92" t="inlineStr">
        <is>
          <t>NORRBOTTENS LÄN</t>
        </is>
      </c>
      <c r="E92" t="inlineStr">
        <is>
          <t>ARJEPLOG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46109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46109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10825-2025</t>
        </is>
      </c>
      <c r="B95" s="1" t="n">
        <v>45722</v>
      </c>
      <c r="C95" s="1" t="n">
        <v>46109</v>
      </c>
      <c r="D95" t="inlineStr">
        <is>
          <t>NORRBOTTENS LÄN</t>
        </is>
      </c>
      <c r="E95" t="inlineStr">
        <is>
          <t>ARJEPLOG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46109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25559-2022</t>
        </is>
      </c>
      <c r="B97" s="1" t="n">
        <v>44732</v>
      </c>
      <c r="C97" s="1" t="n">
        <v>46109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46109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29649-2024</t>
        </is>
      </c>
      <c r="B99" s="1" t="n">
        <v>45484</v>
      </c>
      <c r="C99" s="1" t="n">
        <v>46109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55570-2025</t>
        </is>
      </c>
      <c r="B100" s="1" t="n">
        <v>45971.65667824074</v>
      </c>
      <c r="C100" s="1" t="n">
        <v>46109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34426-2025</t>
        </is>
      </c>
      <c r="B101" s="1" t="n">
        <v>45845</v>
      </c>
      <c r="C101" s="1" t="n">
        <v>46109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12447-2025</t>
        </is>
      </c>
      <c r="B102" s="1" t="n">
        <v>45730</v>
      </c>
      <c r="C102" s="1" t="n">
        <v>46109</v>
      </c>
      <c r="D102" t="inlineStr">
        <is>
          <t>NORRBOTTENS LÄN</t>
        </is>
      </c>
      <c r="E102" t="inlineStr">
        <is>
          <t>ARJEPLOG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25239-2023</t>
        </is>
      </c>
      <c r="B103" s="1" t="n">
        <v>45079</v>
      </c>
      <c r="C103" s="1" t="n">
        <v>46109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6642-2026</t>
        </is>
      </c>
      <c r="B104" s="1" t="n">
        <v>46056.53643518518</v>
      </c>
      <c r="C104" s="1" t="n">
        <v>46109</v>
      </c>
      <c r="D104" t="inlineStr">
        <is>
          <t>NORRBOTTENS LÄN</t>
        </is>
      </c>
      <c r="E104" t="inlineStr">
        <is>
          <t>ARJEPLOG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45072-2023</t>
        </is>
      </c>
      <c r="B105" s="1" t="n">
        <v>45187</v>
      </c>
      <c r="C105" s="1" t="n">
        <v>46109</v>
      </c>
      <c r="D105" t="inlineStr">
        <is>
          <t>NORRBOTTENS LÄN</t>
        </is>
      </c>
      <c r="E105" t="inlineStr">
        <is>
          <t>ARJEPLOG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30606-2025</t>
        </is>
      </c>
      <c r="B106" s="1" t="n">
        <v>45831</v>
      </c>
      <c r="C106" s="1" t="n">
        <v>46109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70.40000000000001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30617-2025</t>
        </is>
      </c>
      <c r="B107" s="1" t="n">
        <v>45831</v>
      </c>
      <c r="C107" s="1" t="n">
        <v>46109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39.8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29662-2025</t>
        </is>
      </c>
      <c r="B108" s="1" t="n">
        <v>45825</v>
      </c>
      <c r="C108" s="1" t="n">
        <v>46109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29674-2025</t>
        </is>
      </c>
      <c r="B109" s="1" t="n">
        <v>45825</v>
      </c>
      <c r="C109" s="1" t="n">
        <v>46109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30595-2025</t>
        </is>
      </c>
      <c r="B110" s="1" t="n">
        <v>45831</v>
      </c>
      <c r="C110" s="1" t="n">
        <v>46109</v>
      </c>
      <c r="D110" t="inlineStr">
        <is>
          <t>NORRBOTTENS LÄN</t>
        </is>
      </c>
      <c r="E110" t="inlineStr">
        <is>
          <t>ARJEPLOG</t>
        </is>
      </c>
      <c r="G110" t="n">
        <v>15.6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46109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52581-2022</t>
        </is>
      </c>
      <c r="B112" s="1" t="n">
        <v>44874</v>
      </c>
      <c r="C112" s="1" t="n">
        <v>46109</v>
      </c>
      <c r="D112" t="inlineStr">
        <is>
          <t>NORRBOTTENS LÄN</t>
        </is>
      </c>
      <c r="E112" t="inlineStr">
        <is>
          <t>ARJEPLOG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14861-2026</t>
        </is>
      </c>
      <c r="B113" s="1" t="n">
        <v>46104</v>
      </c>
      <c r="C113" s="1" t="n">
        <v>46109</v>
      </c>
      <c r="D113" t="inlineStr">
        <is>
          <t>NORRBOTTENS LÄN</t>
        </is>
      </c>
      <c r="E113" t="inlineStr">
        <is>
          <t>ARJEPLOG</t>
        </is>
      </c>
      <c r="F113" t="inlineStr">
        <is>
          <t>Sveaskog</t>
        </is>
      </c>
      <c r="G113" t="n">
        <v>31.7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54589-2021</t>
        </is>
      </c>
      <c r="B114" s="1" t="n">
        <v>44473</v>
      </c>
      <c r="C114" s="1" t="n">
        <v>46109</v>
      </c>
      <c r="D114" t="inlineStr">
        <is>
          <t>NORRBOTTENS LÄN</t>
        </is>
      </c>
      <c r="E114" t="inlineStr">
        <is>
          <t>ARJEPLOG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36779-2025</t>
        </is>
      </c>
      <c r="B115" s="1" t="n">
        <v>45873</v>
      </c>
      <c r="C115" s="1" t="n">
        <v>46109</v>
      </c>
      <c r="D115" t="inlineStr">
        <is>
          <t>NORRBOTTENS LÄN</t>
        </is>
      </c>
      <c r="E115" t="inlineStr">
        <is>
          <t>ARJEPLOG</t>
        </is>
      </c>
      <c r="G115" t="n">
        <v>17.2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37442-2025</t>
        </is>
      </c>
      <c r="B116" s="1" t="n">
        <v>45877.54096064815</v>
      </c>
      <c r="C116" s="1" t="n">
        <v>46109</v>
      </c>
      <c r="D116" t="inlineStr">
        <is>
          <t>NORRBOTTENS LÄN</t>
        </is>
      </c>
      <c r="E116" t="inlineStr">
        <is>
          <t>ARJEPLOG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3006-2024</t>
        </is>
      </c>
      <c r="B117" s="1" t="n">
        <v>45315</v>
      </c>
      <c r="C117" s="1" t="n">
        <v>46109</v>
      </c>
      <c r="D117" t="inlineStr">
        <is>
          <t>NORRBOTTENS LÄN</t>
        </is>
      </c>
      <c r="E117" t="inlineStr">
        <is>
          <t>ARJEPLOG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25440-2024</t>
        </is>
      </c>
      <c r="B118" s="1" t="n">
        <v>45463</v>
      </c>
      <c r="C118" s="1" t="n">
        <v>46109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26470-2024</t>
        </is>
      </c>
      <c r="B119" s="1" t="n">
        <v>45468</v>
      </c>
      <c r="C119" s="1" t="n">
        <v>46109</v>
      </c>
      <c r="D119" t="inlineStr">
        <is>
          <t>NORRBOTTENS LÄN</t>
        </is>
      </c>
      <c r="E119" t="inlineStr">
        <is>
          <t>ARJEPLOG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46109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46109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56782-2024</t>
        </is>
      </c>
      <c r="B122" s="1" t="n">
        <v>45625</v>
      </c>
      <c r="C122" s="1" t="n">
        <v>46109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56794-2024</t>
        </is>
      </c>
      <c r="B123" s="1" t="n">
        <v>45625</v>
      </c>
      <c r="C123" s="1" t="n">
        <v>46109</v>
      </c>
      <c r="D123" t="inlineStr">
        <is>
          <t>NORRBOTTENS LÄN</t>
        </is>
      </c>
      <c r="E123" t="inlineStr">
        <is>
          <t>ARJEPLOG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25928-2024</t>
        </is>
      </c>
      <c r="B124" s="1" t="n">
        <v>45467</v>
      </c>
      <c r="C124" s="1" t="n">
        <v>46109</v>
      </c>
      <c r="D124" t="inlineStr">
        <is>
          <t>NORRBOTTENS LÄN</t>
        </is>
      </c>
      <c r="E124" t="inlineStr">
        <is>
          <t>ARJEPLOG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45924-2023</t>
        </is>
      </c>
      <c r="B125" s="1" t="n">
        <v>45189</v>
      </c>
      <c r="C125" s="1" t="n">
        <v>46109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12409-2025</t>
        </is>
      </c>
      <c r="B126" s="1" t="n">
        <v>45730.43366898148</v>
      </c>
      <c r="C126" s="1" t="n">
        <v>46109</v>
      </c>
      <c r="D126" t="inlineStr">
        <is>
          <t>NORRBOTTENS LÄN</t>
        </is>
      </c>
      <c r="E126" t="inlineStr">
        <is>
          <t>ARJEPLOG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26811-2022</t>
        </is>
      </c>
      <c r="B127" s="1" t="n">
        <v>44735</v>
      </c>
      <c r="C127" s="1" t="n">
        <v>46109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44218-2023</t>
        </is>
      </c>
      <c r="B128" s="1" t="n">
        <v>45183</v>
      </c>
      <c r="C128" s="1" t="n">
        <v>46109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46109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46109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46109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46109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46109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46109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46109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46109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46109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46109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46109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46109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46109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46109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46109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46109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46109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2026-03-28T11:46:39Z</dcterms:created>
  <dcterms:modified xmlns:dcterms="http://purl.org/dc/terms/" xmlns:xsi="http://www.w3.org/2001/XMLSchema-instance" xsi:type="dcterms:W3CDTF">2026-03-28T11:46:40Z</dcterms:modified>
</cp:coreProperties>
</file>