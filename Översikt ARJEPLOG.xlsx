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45294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45294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45294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45294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45294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</row>
    <row r="7" ht="15" customHeight="1">
      <c r="A7" t="inlineStr">
        <is>
          <t>A 59199-2021</t>
        </is>
      </c>
      <c r="B7" s="1" t="n">
        <v>44490</v>
      </c>
      <c r="C7" s="1" t="n">
        <v>45294</v>
      </c>
      <c r="D7" t="inlineStr">
        <is>
          <t>NORRBOTTENS LÄN</t>
        </is>
      </c>
      <c r="E7" t="inlineStr">
        <is>
          <t>ARJEPLOG</t>
        </is>
      </c>
      <c r="G7" t="n">
        <v>16.2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Rynkskinn
Gammelgransskål
Granticka
Gränsticka
Rosenticka
Ullticka</t>
        </is>
      </c>
      <c r="S7">
        <f>HYPERLINK("https://klasma.github.io/Logging_2506/artfynd/A 59199-2021 artfynd.xlsx", "A 59199-2021")</f>
        <v/>
      </c>
      <c r="T7">
        <f>HYPERLINK("https://klasma.github.io/Logging_2506/kartor/A 59199-2021 karta.png", "A 59199-2021")</f>
        <v/>
      </c>
      <c r="V7">
        <f>HYPERLINK("https://klasma.github.io/Logging_2506/klagomål/A 59199-2021 FSC-klagomål.docx", "A 59199-2021")</f>
        <v/>
      </c>
      <c r="W7">
        <f>HYPERLINK("https://klasma.github.io/Logging_2506/klagomålsmail/A 59199-2021 FSC-klagomål mail.docx", "A 59199-2021")</f>
        <v/>
      </c>
      <c r="X7">
        <f>HYPERLINK("https://klasma.github.io/Logging_2506/tillsyn/A 59199-2021 tillsynsbegäran.docx", "A 59199-2021")</f>
        <v/>
      </c>
      <c r="Y7">
        <f>HYPERLINK("https://klasma.github.io/Logging_2506/tillsynsmail/A 59199-2021 tillsynsbegäran mail.docx", "A 59199-2021")</f>
        <v/>
      </c>
    </row>
    <row r="8" ht="15" customHeight="1">
      <c r="A8" t="inlineStr">
        <is>
          <t>A 25229-2023</t>
        </is>
      </c>
      <c r="B8" s="1" t="n">
        <v>45079</v>
      </c>
      <c r="C8" s="1" t="n">
        <v>45294</v>
      </c>
      <c r="D8" t="inlineStr">
        <is>
          <t>NORRBOTTENS LÄN</t>
        </is>
      </c>
      <c r="E8" t="inlineStr">
        <is>
          <t>ARJEPLOG</t>
        </is>
      </c>
      <c r="F8" t="inlineStr">
        <is>
          <t>Övriga statliga verk och myndigheter</t>
        </is>
      </c>
      <c r="G8" t="n">
        <v>18.2</v>
      </c>
      <c r="H8" t="n">
        <v>1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Ostticka
Gammelgransskål
Granticka
Rosenticka
Rödbrun blekspik
Tretåig hackspett</t>
        </is>
      </c>
      <c r="S8">
        <f>HYPERLINK("https://klasma.github.io/Logging_2506/artfynd/A 25229-2023 artfynd.xlsx", "A 25229-2023")</f>
        <v/>
      </c>
      <c r="T8">
        <f>HYPERLINK("https://klasma.github.io/Logging_2506/kartor/A 25229-2023 karta.png", "A 25229-2023")</f>
        <v/>
      </c>
      <c r="V8">
        <f>HYPERLINK("https://klasma.github.io/Logging_2506/klagomål/A 25229-2023 FSC-klagomål.docx", "A 25229-2023")</f>
        <v/>
      </c>
      <c r="W8">
        <f>HYPERLINK("https://klasma.github.io/Logging_2506/klagomålsmail/A 25229-2023 FSC-klagomål mail.docx", "A 25229-2023")</f>
        <v/>
      </c>
      <c r="X8">
        <f>HYPERLINK("https://klasma.github.io/Logging_2506/tillsyn/A 25229-2023 tillsynsbegäran.docx", "A 25229-2023")</f>
        <v/>
      </c>
      <c r="Y8">
        <f>HYPERLINK("https://klasma.github.io/Logging_2506/tillsynsmail/A 25229-2023 tillsynsbegäran mail.docx", "A 25229-2023")</f>
        <v/>
      </c>
    </row>
    <row r="9" ht="15" customHeight="1">
      <c r="A9" t="inlineStr">
        <is>
          <t>A 47035-2022</t>
        </is>
      </c>
      <c r="B9" s="1" t="n">
        <v>44851</v>
      </c>
      <c r="C9" s="1" t="n">
        <v>45294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15.9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Månlåsbräken
Grönkulla
Spindelblomster
Tibast
Brudsporre</t>
        </is>
      </c>
      <c r="S9">
        <f>HYPERLINK("https://klasma.github.io/Logging_2506/artfynd/A 47035-2022 artfynd.xlsx", "A 47035-2022")</f>
        <v/>
      </c>
      <c r="T9">
        <f>HYPERLINK("https://klasma.github.io/Logging_2506/kartor/A 47035-2022 karta.png", "A 47035-2022")</f>
        <v/>
      </c>
      <c r="V9">
        <f>HYPERLINK("https://klasma.github.io/Logging_2506/klagomål/A 47035-2022 FSC-klagomål.docx", "A 47035-2022")</f>
        <v/>
      </c>
      <c r="W9">
        <f>HYPERLINK("https://klasma.github.io/Logging_2506/klagomålsmail/A 47035-2022 FSC-klagomål mail.docx", "A 47035-2022")</f>
        <v/>
      </c>
      <c r="X9">
        <f>HYPERLINK("https://klasma.github.io/Logging_2506/tillsyn/A 47035-2022 tillsynsbegäran.docx", "A 47035-2022")</f>
        <v/>
      </c>
      <c r="Y9">
        <f>HYPERLINK("https://klasma.github.io/Logging_2506/tillsynsmail/A 47035-2022 tillsynsbegäran mail.docx", "A 47035-2022")</f>
        <v/>
      </c>
    </row>
    <row r="10" ht="15" customHeight="1">
      <c r="A10" t="inlineStr">
        <is>
          <t>A 61660-2018</t>
        </is>
      </c>
      <c r="B10" s="1" t="n">
        <v>43424</v>
      </c>
      <c r="C10" s="1" t="n">
        <v>45294</v>
      </c>
      <c r="D10" t="inlineStr">
        <is>
          <t>NORRBOTTENS LÄN</t>
        </is>
      </c>
      <c r="E10" t="inlineStr">
        <is>
          <t>ARJEPLOG</t>
        </is>
      </c>
      <c r="F10" t="inlineStr">
        <is>
          <t>SCA</t>
        </is>
      </c>
      <c r="G10" t="n">
        <v>34.2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Gammelgransskål
Garnlav
Norrlandslav
Nästlav</t>
        </is>
      </c>
      <c r="S10">
        <f>HYPERLINK("https://klasma.github.io/Logging_2506/artfynd/A 61660-2018 artfynd.xlsx", "A 61660-2018")</f>
        <v/>
      </c>
      <c r="T10">
        <f>HYPERLINK("https://klasma.github.io/Logging_2506/kartor/A 61660-2018 karta.png", "A 61660-2018")</f>
        <v/>
      </c>
      <c r="V10">
        <f>HYPERLINK("https://klasma.github.io/Logging_2506/klagomål/A 61660-2018 FSC-klagomål.docx", "A 61660-2018")</f>
        <v/>
      </c>
      <c r="W10">
        <f>HYPERLINK("https://klasma.github.io/Logging_2506/klagomålsmail/A 61660-2018 FSC-klagomål mail.docx", "A 61660-2018")</f>
        <v/>
      </c>
      <c r="X10">
        <f>HYPERLINK("https://klasma.github.io/Logging_2506/tillsyn/A 61660-2018 tillsynsbegäran.docx", "A 61660-2018")</f>
        <v/>
      </c>
      <c r="Y10">
        <f>HYPERLINK("https://klasma.github.io/Logging_2506/tillsynsmail/A 61660-2018 tillsynsbegäran mail.docx", "A 61660-2018")</f>
        <v/>
      </c>
    </row>
    <row r="11" ht="15" customHeight="1">
      <c r="A11" t="inlineStr">
        <is>
          <t>A 64803-2023</t>
        </is>
      </c>
      <c r="B11" s="1" t="n">
        <v>45281</v>
      </c>
      <c r="C11" s="1" t="n">
        <v>45294</v>
      </c>
      <c r="D11" t="inlineStr">
        <is>
          <t>NORRBOTTENS LÄN</t>
        </is>
      </c>
      <c r="E11" t="inlineStr">
        <is>
          <t>ARJEPLOG</t>
        </is>
      </c>
      <c r="G11" t="n">
        <v>43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Gullmurkling
Lunglav
Rosenticka
Ullticka</t>
        </is>
      </c>
      <c r="S11">
        <f>HYPERLINK("https://klasma.github.io/Logging_2506/artfynd/A 64803-2023 artfynd.xlsx", "A 64803-2023")</f>
        <v/>
      </c>
      <c r="T11">
        <f>HYPERLINK("https://klasma.github.io/Logging_2506/kartor/A 64803-2023 karta.png", "A 64803-2023")</f>
        <v/>
      </c>
      <c r="V11">
        <f>HYPERLINK("https://klasma.github.io/Logging_2506/klagomål/A 64803-2023 FSC-klagomål.docx", "A 64803-2023")</f>
        <v/>
      </c>
      <c r="W11">
        <f>HYPERLINK("https://klasma.github.io/Logging_2506/klagomålsmail/A 64803-2023 FSC-klagomål mail.docx", "A 64803-2023")</f>
        <v/>
      </c>
      <c r="X11">
        <f>HYPERLINK("https://klasma.github.io/Logging_2506/tillsyn/A 64803-2023 tillsynsbegäran.docx", "A 64803-2023")</f>
        <v/>
      </c>
      <c r="Y11">
        <f>HYPERLINK("https://klasma.github.io/Logging_2506/tillsynsmail/A 64803-2023 tillsynsbegäran mail.docx", "A 64803-2023")</f>
        <v/>
      </c>
    </row>
    <row r="12" ht="15" customHeight="1">
      <c r="A12" t="inlineStr">
        <is>
          <t>A 15171-2022</t>
        </is>
      </c>
      <c r="B12" s="1" t="n">
        <v>44658</v>
      </c>
      <c r="C12" s="1" t="n">
        <v>45294</v>
      </c>
      <c r="D12" t="inlineStr">
        <is>
          <t>NORRBOTTENS LÄN</t>
        </is>
      </c>
      <c r="E12" t="inlineStr">
        <is>
          <t>ARJEPLOG</t>
        </is>
      </c>
      <c r="G12" t="n">
        <v>48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Lunglav
Tretåig hackspett</t>
        </is>
      </c>
      <c r="S12">
        <f>HYPERLINK("https://klasma.github.io/Logging_2506/artfynd/A 15171-2022 artfynd.xlsx", "A 15171-2022")</f>
        <v/>
      </c>
      <c r="T12">
        <f>HYPERLINK("https://klasma.github.io/Logging_2506/kartor/A 15171-2022 karta.png", "A 15171-2022")</f>
        <v/>
      </c>
      <c r="V12">
        <f>HYPERLINK("https://klasma.github.io/Logging_2506/klagomål/A 15171-2022 FSC-klagomål.docx", "A 15171-2022")</f>
        <v/>
      </c>
      <c r="W12">
        <f>HYPERLINK("https://klasma.github.io/Logging_2506/klagomålsmail/A 15171-2022 FSC-klagomål mail.docx", "A 15171-2022")</f>
        <v/>
      </c>
      <c r="X12">
        <f>HYPERLINK("https://klasma.github.io/Logging_2506/tillsyn/A 15171-2022 tillsynsbegäran.docx", "A 15171-2022")</f>
        <v/>
      </c>
      <c r="Y12">
        <f>HYPERLINK("https://klasma.github.io/Logging_2506/tillsynsmail/A 15171-2022 tillsynsbegäran mail.docx", "A 15171-2022")</f>
        <v/>
      </c>
    </row>
    <row r="13" ht="15" customHeight="1">
      <c r="A13" t="inlineStr">
        <is>
          <t>A 45031-2023</t>
        </is>
      </c>
      <c r="B13" s="1" t="n">
        <v>45190</v>
      </c>
      <c r="C13" s="1" t="n">
        <v>45294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10.3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Garnlav
Granticka</t>
        </is>
      </c>
      <c r="S13">
        <f>HYPERLINK("https://klasma.github.io/Logging_2506/artfynd/A 45031-2023 artfynd.xlsx", "A 45031-2023")</f>
        <v/>
      </c>
      <c r="T13">
        <f>HYPERLINK("https://klasma.github.io/Logging_2506/kartor/A 45031-2023 karta.png", "A 45031-2023")</f>
        <v/>
      </c>
      <c r="V13">
        <f>HYPERLINK("https://klasma.github.io/Logging_2506/klagomål/A 45031-2023 FSC-klagomål.docx", "A 45031-2023")</f>
        <v/>
      </c>
      <c r="W13">
        <f>HYPERLINK("https://klasma.github.io/Logging_2506/klagomålsmail/A 45031-2023 FSC-klagomål mail.docx", "A 45031-2023")</f>
        <v/>
      </c>
      <c r="X13">
        <f>HYPERLINK("https://klasma.github.io/Logging_2506/tillsyn/A 45031-2023 tillsynsbegäran.docx", "A 45031-2023")</f>
        <v/>
      </c>
      <c r="Y13">
        <f>HYPERLINK("https://klasma.github.io/Logging_2506/tillsynsmail/A 45031-2023 tillsynsbegäran mail.docx", "A 45031-2023")</f>
        <v/>
      </c>
    </row>
    <row r="14" ht="15" customHeight="1">
      <c r="A14" t="inlineStr">
        <is>
          <t>A 35512-2018</t>
        </is>
      </c>
      <c r="B14" s="1" t="n">
        <v>43325</v>
      </c>
      <c r="C14" s="1" t="n">
        <v>45294</v>
      </c>
      <c r="D14" t="inlineStr">
        <is>
          <t>NORRBOTTENS LÄN</t>
        </is>
      </c>
      <c r="E14" t="inlineStr">
        <is>
          <t>ARJEPLOG</t>
        </is>
      </c>
      <c r="G14" t="n">
        <v>19.8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Lappmes
Talltita</t>
        </is>
      </c>
      <c r="S14">
        <f>HYPERLINK("https://klasma.github.io/Logging_2506/artfynd/A 35512-2018 artfynd.xlsx", "A 35512-2018")</f>
        <v/>
      </c>
      <c r="T14">
        <f>HYPERLINK("https://klasma.github.io/Logging_2506/kartor/A 35512-2018 karta.png", "A 35512-2018")</f>
        <v/>
      </c>
      <c r="V14">
        <f>HYPERLINK("https://klasma.github.io/Logging_2506/klagomål/A 35512-2018 FSC-klagomål.docx", "A 35512-2018")</f>
        <v/>
      </c>
      <c r="W14">
        <f>HYPERLINK("https://klasma.github.io/Logging_2506/klagomålsmail/A 35512-2018 FSC-klagomål mail.docx", "A 35512-2018")</f>
        <v/>
      </c>
      <c r="X14">
        <f>HYPERLINK("https://klasma.github.io/Logging_2506/tillsyn/A 35512-2018 tillsynsbegäran.docx", "A 35512-2018")</f>
        <v/>
      </c>
      <c r="Y14">
        <f>HYPERLINK("https://klasma.github.io/Logging_2506/tillsynsmail/A 35512-2018 tillsynsbegäran mail.docx", "A 35512-2018")</f>
        <v/>
      </c>
    </row>
    <row r="15" ht="15" customHeight="1">
      <c r="A15" t="inlineStr">
        <is>
          <t>A 45095-2019</t>
        </is>
      </c>
      <c r="B15" s="1" t="n">
        <v>43707</v>
      </c>
      <c r="C15" s="1" t="n">
        <v>45294</v>
      </c>
      <c r="D15" t="inlineStr">
        <is>
          <t>NORRBOTTENS LÄN</t>
        </is>
      </c>
      <c r="E15" t="inlineStr">
        <is>
          <t>ARJEPLOG</t>
        </is>
      </c>
      <c r="G15" t="n">
        <v>9.9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Revlummer</t>
        </is>
      </c>
      <c r="S15">
        <f>HYPERLINK("https://klasma.github.io/Logging_2506/artfynd/A 45095-2019 artfynd.xlsx", "A 45095-2019")</f>
        <v/>
      </c>
      <c r="T15">
        <f>HYPERLINK("https://klasma.github.io/Logging_2506/kartor/A 45095-2019 karta.png", "A 45095-2019")</f>
        <v/>
      </c>
      <c r="V15">
        <f>HYPERLINK("https://klasma.github.io/Logging_2506/klagomål/A 45095-2019 FSC-klagomål.docx", "A 45095-2019")</f>
        <v/>
      </c>
      <c r="W15">
        <f>HYPERLINK("https://klasma.github.io/Logging_2506/klagomålsmail/A 45095-2019 FSC-klagomål mail.docx", "A 45095-2019")</f>
        <v/>
      </c>
      <c r="X15">
        <f>HYPERLINK("https://klasma.github.io/Logging_2506/tillsyn/A 45095-2019 tillsynsbegäran.docx", "A 45095-2019")</f>
        <v/>
      </c>
      <c r="Y15">
        <f>HYPERLINK("https://klasma.github.io/Logging_2506/tillsynsmail/A 45095-2019 tillsynsbegäran mail.docx", "A 45095-2019")</f>
        <v/>
      </c>
    </row>
    <row r="16" ht="15" customHeight="1">
      <c r="A16" t="inlineStr">
        <is>
          <t>A 14684-2021</t>
        </is>
      </c>
      <c r="B16" s="1" t="n">
        <v>44280</v>
      </c>
      <c r="C16" s="1" t="n">
        <v>45294</v>
      </c>
      <c r="D16" t="inlineStr">
        <is>
          <t>NORRBOTTENS LÄN</t>
        </is>
      </c>
      <c r="E16" t="inlineStr">
        <is>
          <t>ARJEPLOG</t>
        </is>
      </c>
      <c r="G16" t="n">
        <v>26.6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Tretåig hackspett
Ullticka</t>
        </is>
      </c>
      <c r="S16">
        <f>HYPERLINK("https://klasma.github.io/Logging_2506/artfynd/A 14684-2021 artfynd.xlsx", "A 14684-2021")</f>
        <v/>
      </c>
      <c r="T16">
        <f>HYPERLINK("https://klasma.github.io/Logging_2506/kartor/A 14684-2021 karta.png", "A 14684-2021")</f>
        <v/>
      </c>
      <c r="V16">
        <f>HYPERLINK("https://klasma.github.io/Logging_2506/klagomål/A 14684-2021 FSC-klagomål.docx", "A 14684-2021")</f>
        <v/>
      </c>
      <c r="W16">
        <f>HYPERLINK("https://klasma.github.io/Logging_2506/klagomålsmail/A 14684-2021 FSC-klagomål mail.docx", "A 14684-2021")</f>
        <v/>
      </c>
      <c r="X16">
        <f>HYPERLINK("https://klasma.github.io/Logging_2506/tillsyn/A 14684-2021 tillsynsbegäran.docx", "A 14684-2021")</f>
        <v/>
      </c>
      <c r="Y16">
        <f>HYPERLINK("https://klasma.github.io/Logging_2506/tillsynsmail/A 14684-2021 tillsynsbegäran mail.docx", "A 14684-2021")</f>
        <v/>
      </c>
    </row>
    <row r="17" ht="15" customHeight="1">
      <c r="A17" t="inlineStr">
        <is>
          <t>A 17549-2023</t>
        </is>
      </c>
      <c r="B17" s="1" t="n">
        <v>45034</v>
      </c>
      <c r="C17" s="1" t="n">
        <v>45294</v>
      </c>
      <c r="D17" t="inlineStr">
        <is>
          <t>NORRBOTTENS LÄN</t>
        </is>
      </c>
      <c r="E17" t="inlineStr">
        <is>
          <t>ARJEPLOG</t>
        </is>
      </c>
      <c r="G17" t="n">
        <v>18.8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Granticka
Tretåig hackspett</t>
        </is>
      </c>
      <c r="S17">
        <f>HYPERLINK("https://klasma.github.io/Logging_2506/artfynd/A 17549-2023 artfynd.xlsx", "A 17549-2023")</f>
        <v/>
      </c>
      <c r="T17">
        <f>HYPERLINK("https://klasma.github.io/Logging_2506/kartor/A 17549-2023 karta.png", "A 17549-2023")</f>
        <v/>
      </c>
      <c r="V17">
        <f>HYPERLINK("https://klasma.github.io/Logging_2506/klagomål/A 17549-2023 FSC-klagomål.docx", "A 17549-2023")</f>
        <v/>
      </c>
      <c r="W17">
        <f>HYPERLINK("https://klasma.github.io/Logging_2506/klagomålsmail/A 17549-2023 FSC-klagomål mail.docx", "A 17549-2023")</f>
        <v/>
      </c>
      <c r="X17">
        <f>HYPERLINK("https://klasma.github.io/Logging_2506/tillsyn/A 17549-2023 tillsynsbegäran.docx", "A 17549-2023")</f>
        <v/>
      </c>
      <c r="Y17">
        <f>HYPERLINK("https://klasma.github.io/Logging_2506/tillsynsmail/A 17549-2023 tillsynsbegäran mail.docx", "A 17549-2023")</f>
        <v/>
      </c>
    </row>
    <row r="18" ht="15" customHeight="1">
      <c r="A18" t="inlineStr">
        <is>
          <t>A 45030-2023</t>
        </is>
      </c>
      <c r="B18" s="1" t="n">
        <v>45190</v>
      </c>
      <c r="C18" s="1" t="n">
        <v>45294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3.8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Harticka
Ullticka</t>
        </is>
      </c>
      <c r="S18">
        <f>HYPERLINK("https://klasma.github.io/Logging_2506/artfynd/A 45030-2023 artfynd.xlsx", "A 45030-2023")</f>
        <v/>
      </c>
      <c r="T18">
        <f>HYPERLINK("https://klasma.github.io/Logging_2506/kartor/A 45030-2023 karta.png", "A 45030-2023")</f>
        <v/>
      </c>
      <c r="V18">
        <f>HYPERLINK("https://klasma.github.io/Logging_2506/klagomål/A 45030-2023 FSC-klagomål.docx", "A 45030-2023")</f>
        <v/>
      </c>
      <c r="W18">
        <f>HYPERLINK("https://klasma.github.io/Logging_2506/klagomålsmail/A 45030-2023 FSC-klagomål mail.docx", "A 45030-2023")</f>
        <v/>
      </c>
      <c r="X18">
        <f>HYPERLINK("https://klasma.github.io/Logging_2506/tillsyn/A 45030-2023 tillsynsbegäran.docx", "A 45030-2023")</f>
        <v/>
      </c>
      <c r="Y18">
        <f>HYPERLINK("https://klasma.github.io/Logging_2506/tillsynsmail/A 45030-2023 tillsynsbegäran mail.docx", "A 45030-2023")</f>
        <v/>
      </c>
    </row>
    <row r="19" ht="15" customHeight="1">
      <c r="A19" t="inlineStr">
        <is>
          <t>A 45032-2023</t>
        </is>
      </c>
      <c r="B19" s="1" t="n">
        <v>45190</v>
      </c>
      <c r="C19" s="1" t="n">
        <v>45294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6.3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Tretåig hackspett</t>
        </is>
      </c>
      <c r="S19">
        <f>HYPERLINK("https://klasma.github.io/Logging_2506/artfynd/A 45032-2023 artfynd.xlsx", "A 45032-2023")</f>
        <v/>
      </c>
      <c r="T19">
        <f>HYPERLINK("https://klasma.github.io/Logging_2506/kartor/A 45032-2023 karta.png", "A 45032-2023")</f>
        <v/>
      </c>
      <c r="V19">
        <f>HYPERLINK("https://klasma.github.io/Logging_2506/klagomål/A 45032-2023 FSC-klagomål.docx", "A 45032-2023")</f>
        <v/>
      </c>
      <c r="W19">
        <f>HYPERLINK("https://klasma.github.io/Logging_2506/klagomålsmail/A 45032-2023 FSC-klagomål mail.docx", "A 45032-2023")</f>
        <v/>
      </c>
      <c r="X19">
        <f>HYPERLINK("https://klasma.github.io/Logging_2506/tillsyn/A 45032-2023 tillsynsbegäran.docx", "A 45032-2023")</f>
        <v/>
      </c>
      <c r="Y19">
        <f>HYPERLINK("https://klasma.github.io/Logging_2506/tillsynsmail/A 45032-2023 tillsynsbegäran mail.docx", "A 45032-2023")</f>
        <v/>
      </c>
    </row>
    <row r="20" ht="15" customHeight="1">
      <c r="A20" t="inlineStr">
        <is>
          <t>A 60735-2018</t>
        </is>
      </c>
      <c r="B20" s="1" t="n">
        <v>43409</v>
      </c>
      <c r="C20" s="1" t="n">
        <v>45294</v>
      </c>
      <c r="D20" t="inlineStr">
        <is>
          <t>NORRBOTTENS LÄN</t>
        </is>
      </c>
      <c r="E20" t="inlineStr">
        <is>
          <t>ARJEPLOG</t>
        </is>
      </c>
      <c r="G20" t="n">
        <v>38.9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HYPERLINK("https://klasma.github.io/Logging_2506/artfynd/A 60735-2018 artfynd.xlsx", "A 60735-2018")</f>
        <v/>
      </c>
      <c r="T20">
        <f>HYPERLINK("https://klasma.github.io/Logging_2506/kartor/A 60735-2018 karta.png", "A 60735-2018")</f>
        <v/>
      </c>
      <c r="V20">
        <f>HYPERLINK("https://klasma.github.io/Logging_2506/klagomål/A 60735-2018 FSC-klagomål.docx", "A 60735-2018")</f>
        <v/>
      </c>
      <c r="W20">
        <f>HYPERLINK("https://klasma.github.io/Logging_2506/klagomålsmail/A 60735-2018 FSC-klagomål mail.docx", "A 60735-2018")</f>
        <v/>
      </c>
      <c r="X20">
        <f>HYPERLINK("https://klasma.github.io/Logging_2506/tillsyn/A 60735-2018 tillsynsbegäran.docx", "A 60735-2018")</f>
        <v/>
      </c>
      <c r="Y20">
        <f>HYPERLINK("https://klasma.github.io/Logging_2506/tillsynsmail/A 60735-2018 tillsynsbegäran mail.docx", "A 60735-2018")</f>
        <v/>
      </c>
    </row>
    <row r="21" ht="15" customHeight="1">
      <c r="A21" t="inlineStr">
        <is>
          <t>A 45324-2022</t>
        </is>
      </c>
      <c r="B21" s="1" t="n">
        <v>44841</v>
      </c>
      <c r="C21" s="1" t="n">
        <v>45294</v>
      </c>
      <c r="D21" t="inlineStr">
        <is>
          <t>NORRBOTTENS LÄN</t>
        </is>
      </c>
      <c r="E21" t="inlineStr">
        <is>
          <t>ARJEPLOG</t>
        </is>
      </c>
      <c r="G21" t="n">
        <v>23.2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Bergand</t>
        </is>
      </c>
      <c r="S21">
        <f>HYPERLINK("https://klasma.github.io/Logging_2506/artfynd/A 45324-2022 artfynd.xlsx", "A 45324-2022")</f>
        <v/>
      </c>
      <c r="T21">
        <f>HYPERLINK("https://klasma.github.io/Logging_2506/kartor/A 45324-2022 karta.png", "A 45324-2022")</f>
        <v/>
      </c>
      <c r="V21">
        <f>HYPERLINK("https://klasma.github.io/Logging_2506/klagomål/A 45324-2022 FSC-klagomål.docx", "A 45324-2022")</f>
        <v/>
      </c>
      <c r="W21">
        <f>HYPERLINK("https://klasma.github.io/Logging_2506/klagomålsmail/A 45324-2022 FSC-klagomål mail.docx", "A 45324-2022")</f>
        <v/>
      </c>
      <c r="X21">
        <f>HYPERLINK("https://klasma.github.io/Logging_2506/tillsyn/A 45324-2022 tillsynsbegäran.docx", "A 45324-2022")</f>
        <v/>
      </c>
      <c r="Y21">
        <f>HYPERLINK("https://klasma.github.io/Logging_2506/tillsynsmail/A 45324-2022 tillsynsbegäran mail.docx", "A 45324-2022")</f>
        <v/>
      </c>
    </row>
    <row r="22" ht="15" customHeight="1">
      <c r="A22" t="inlineStr">
        <is>
          <t>A 25279-2023</t>
        </is>
      </c>
      <c r="B22" s="1" t="n">
        <v>45079</v>
      </c>
      <c r="C22" s="1" t="n">
        <v>45294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HYPERLINK("https://klasma.github.io/Logging_2506/artfynd/A 25279-2023 artfynd.xlsx", "A 25279-2023")</f>
        <v/>
      </c>
      <c r="T22">
        <f>HYPERLINK("https://klasma.github.io/Logging_2506/kartor/A 25279-2023 karta.png", "A 25279-2023")</f>
        <v/>
      </c>
      <c r="V22">
        <f>HYPERLINK("https://klasma.github.io/Logging_2506/klagomål/A 25279-2023 FSC-klagomål.docx", "A 25279-2023")</f>
        <v/>
      </c>
      <c r="W22">
        <f>HYPERLINK("https://klasma.github.io/Logging_2506/klagomålsmail/A 25279-2023 FSC-klagomål mail.docx", "A 25279-2023")</f>
        <v/>
      </c>
      <c r="X22">
        <f>HYPERLINK("https://klasma.github.io/Logging_2506/tillsyn/A 25279-2023 tillsynsbegäran.docx", "A 25279-2023")</f>
        <v/>
      </c>
      <c r="Y22">
        <f>HYPERLINK("https://klasma.github.io/Logging_2506/tillsynsmail/A 25279-2023 tillsynsbegäran mail.docx", "A 25279-2023")</f>
        <v/>
      </c>
    </row>
    <row r="23" ht="15" customHeight="1">
      <c r="A23" t="inlineStr">
        <is>
          <t>A 33931-2018</t>
        </is>
      </c>
      <c r="B23" s="1" t="n">
        <v>43314</v>
      </c>
      <c r="C23" s="1" t="n">
        <v>45294</v>
      </c>
      <c r="D23" t="inlineStr">
        <is>
          <t>NORRBOTTENS LÄN</t>
        </is>
      </c>
      <c r="E23" t="inlineStr">
        <is>
          <t>ARJEPLOG</t>
        </is>
      </c>
      <c r="F23" t="inlineStr">
        <is>
          <t>Allmännings- och besparingsskogar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33929-2018</t>
        </is>
      </c>
      <c r="B24" s="1" t="n">
        <v>43314</v>
      </c>
      <c r="C24" s="1" t="n">
        <v>45294</v>
      </c>
      <c r="D24" t="inlineStr">
        <is>
          <t>NORRBOTTENS LÄN</t>
        </is>
      </c>
      <c r="E24" t="inlineStr">
        <is>
          <t>ARJEPLOG</t>
        </is>
      </c>
      <c r="G24" t="n">
        <v>30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35433-2018</t>
        </is>
      </c>
      <c r="B25" s="1" t="n">
        <v>43325</v>
      </c>
      <c r="C25" s="1" t="n">
        <v>45294</v>
      </c>
      <c r="D25" t="inlineStr">
        <is>
          <t>NORRBOTTENS LÄN</t>
        </is>
      </c>
      <c r="E25" t="inlineStr">
        <is>
          <t>ARJEPLOG</t>
        </is>
      </c>
      <c r="G25" t="n">
        <v>16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35514-2018</t>
        </is>
      </c>
      <c r="B26" s="1" t="n">
        <v>43325</v>
      </c>
      <c r="C26" s="1" t="n">
        <v>45294</v>
      </c>
      <c r="D26" t="inlineStr">
        <is>
          <t>NORRBOTTENS LÄN</t>
        </is>
      </c>
      <c r="E26" t="inlineStr">
        <is>
          <t>ARJEPLOG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35507-2018</t>
        </is>
      </c>
      <c r="B27" s="1" t="n">
        <v>43325</v>
      </c>
      <c r="C27" s="1" t="n">
        <v>45294</v>
      </c>
      <c r="D27" t="inlineStr">
        <is>
          <t>NORRBOTTENS LÄN</t>
        </is>
      </c>
      <c r="E27" t="inlineStr">
        <is>
          <t>ARJEPLOG</t>
        </is>
      </c>
      <c r="G27" t="n">
        <v>20.4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38203-2018</t>
        </is>
      </c>
      <c r="B28" s="1" t="n">
        <v>43337</v>
      </c>
      <c r="C28" s="1" t="n">
        <v>45294</v>
      </c>
      <c r="D28" t="inlineStr">
        <is>
          <t>NORRBOTTENS LÄN</t>
        </is>
      </c>
      <c r="E28" t="inlineStr">
        <is>
          <t>ARJEPLOG</t>
        </is>
      </c>
      <c r="G28" t="n">
        <v>26.1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39579-2018</t>
        </is>
      </c>
      <c r="B29" s="1" t="n">
        <v>43342</v>
      </c>
      <c r="C29" s="1" t="n">
        <v>45294</v>
      </c>
      <c r="D29" t="inlineStr">
        <is>
          <t>NORRBOTTENS LÄN</t>
        </is>
      </c>
      <c r="E29" t="inlineStr">
        <is>
          <t>ARJEPLOG</t>
        </is>
      </c>
      <c r="G29" t="n">
        <v>21.6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42250-2018</t>
        </is>
      </c>
      <c r="B30" s="1" t="n">
        <v>43349</v>
      </c>
      <c r="C30" s="1" t="n">
        <v>45294</v>
      </c>
      <c r="D30" t="inlineStr">
        <is>
          <t>NORRBOTTENS LÄN</t>
        </is>
      </c>
      <c r="E30" t="inlineStr">
        <is>
          <t>ARJEPLOG</t>
        </is>
      </c>
      <c r="F30" t="inlineStr">
        <is>
          <t>Allmännings- och besparingsskogar</t>
        </is>
      </c>
      <c r="G30" t="n">
        <v>18.3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42063-2018</t>
        </is>
      </c>
      <c r="B31" s="1" t="n">
        <v>43349</v>
      </c>
      <c r="C31" s="1" t="n">
        <v>45294</v>
      </c>
      <c r="D31" t="inlineStr">
        <is>
          <t>NORRBOTTENS LÄN</t>
        </is>
      </c>
      <c r="E31" t="inlineStr">
        <is>
          <t>ARJEPLOG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51177-2018</t>
        </is>
      </c>
      <c r="B32" s="1" t="n">
        <v>43378</v>
      </c>
      <c r="C32" s="1" t="n">
        <v>45294</v>
      </c>
      <c r="D32" t="inlineStr">
        <is>
          <t>NORRBOTTENS LÄN</t>
        </is>
      </c>
      <c r="E32" t="inlineStr">
        <is>
          <t>ARJEPLOG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51393-2018</t>
        </is>
      </c>
      <c r="B33" s="1" t="n">
        <v>43381</v>
      </c>
      <c r="C33" s="1" t="n">
        <v>45294</v>
      </c>
      <c r="D33" t="inlineStr">
        <is>
          <t>NORRBOTTENS LÄN</t>
        </is>
      </c>
      <c r="E33" t="inlineStr">
        <is>
          <t>ARJEPLOG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53434-2018</t>
        </is>
      </c>
      <c r="B34" s="1" t="n">
        <v>43391</v>
      </c>
      <c r="C34" s="1" t="n">
        <v>45294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59381-2018</t>
        </is>
      </c>
      <c r="B35" s="1" t="n">
        <v>43404</v>
      </c>
      <c r="C35" s="1" t="n">
        <v>45294</v>
      </c>
      <c r="D35" t="inlineStr">
        <is>
          <t>NORRBOTTENS LÄN</t>
        </is>
      </c>
      <c r="E35" t="inlineStr">
        <is>
          <t>ARJEPLOG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60725-2018</t>
        </is>
      </c>
      <c r="B36" s="1" t="n">
        <v>43409</v>
      </c>
      <c r="C36" s="1" t="n">
        <v>45294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25.5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63495-2018</t>
        </is>
      </c>
      <c r="B37" s="1" t="n">
        <v>43427</v>
      </c>
      <c r="C37" s="1" t="n">
        <v>45294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9980-2019</t>
        </is>
      </c>
      <c r="B38" s="1" t="n">
        <v>43509</v>
      </c>
      <c r="C38" s="1" t="n">
        <v>45294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9982-2019</t>
        </is>
      </c>
      <c r="B39" s="1" t="n">
        <v>43509</v>
      </c>
      <c r="C39" s="1" t="n">
        <v>45294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9981-2019</t>
        </is>
      </c>
      <c r="B40" s="1" t="n">
        <v>43509</v>
      </c>
      <c r="C40" s="1" t="n">
        <v>45294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15399-2019</t>
        </is>
      </c>
      <c r="B41" s="1" t="n">
        <v>43542</v>
      </c>
      <c r="C41" s="1" t="n">
        <v>45294</v>
      </c>
      <c r="D41" t="inlineStr">
        <is>
          <t>NORRBOTTENS LÄN</t>
        </is>
      </c>
      <c r="E41" t="inlineStr">
        <is>
          <t>ARJEPLOG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15827-2019</t>
        </is>
      </c>
      <c r="B42" s="1" t="n">
        <v>43542</v>
      </c>
      <c r="C42" s="1" t="n">
        <v>45294</v>
      </c>
      <c r="D42" t="inlineStr">
        <is>
          <t>NORRBOTTENS LÄN</t>
        </is>
      </c>
      <c r="E42" t="inlineStr">
        <is>
          <t>ARJEPLOG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16749-2019</t>
        </is>
      </c>
      <c r="B43" s="1" t="n">
        <v>43549</v>
      </c>
      <c r="C43" s="1" t="n">
        <v>45294</v>
      </c>
      <c r="D43" t="inlineStr">
        <is>
          <t>NORRBOTTENS LÄN</t>
        </is>
      </c>
      <c r="E43" t="inlineStr">
        <is>
          <t>ARJEPLOG</t>
        </is>
      </c>
      <c r="G43" t="n">
        <v>30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16767-2019</t>
        </is>
      </c>
      <c r="B44" s="1" t="n">
        <v>43549</v>
      </c>
      <c r="C44" s="1" t="n">
        <v>45294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18.6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21344-2019</t>
        </is>
      </c>
      <c r="B45" s="1" t="n">
        <v>43579</v>
      </c>
      <c r="C45" s="1" t="n">
        <v>45294</v>
      </c>
      <c r="D45" t="inlineStr">
        <is>
          <t>NORRBOTTENS LÄN</t>
        </is>
      </c>
      <c r="E45" t="inlineStr">
        <is>
          <t>ARJEPLOG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25107-2019</t>
        </is>
      </c>
      <c r="B46" s="1" t="n">
        <v>43600</v>
      </c>
      <c r="C46" s="1" t="n">
        <v>45294</v>
      </c>
      <c r="D46" t="inlineStr">
        <is>
          <t>NORRBOTTENS LÄN</t>
        </is>
      </c>
      <c r="E46" t="inlineStr">
        <is>
          <t>ARJEPLOG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24943-2019</t>
        </is>
      </c>
      <c r="B47" s="1" t="n">
        <v>43602</v>
      </c>
      <c r="C47" s="1" t="n">
        <v>45294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19.5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26099-2019</t>
        </is>
      </c>
      <c r="B48" s="1" t="n">
        <v>43605</v>
      </c>
      <c r="C48" s="1" t="n">
        <v>45294</v>
      </c>
      <c r="D48" t="inlineStr">
        <is>
          <t>NORRBOTTENS LÄN</t>
        </is>
      </c>
      <c r="E48" t="inlineStr">
        <is>
          <t>ARJEPLOG</t>
        </is>
      </c>
      <c r="F48" t="inlineStr">
        <is>
          <t>Övriga statliga verk och myndigheter</t>
        </is>
      </c>
      <c r="G48" t="n">
        <v>40.2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28869-2019</t>
        </is>
      </c>
      <c r="B49" s="1" t="n">
        <v>43616</v>
      </c>
      <c r="C49" s="1" t="n">
        <v>45294</v>
      </c>
      <c r="D49" t="inlineStr">
        <is>
          <t>NORRBOTTENS LÄN</t>
        </is>
      </c>
      <c r="E49" t="inlineStr">
        <is>
          <t>ARJEPLOG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29502-2019</t>
        </is>
      </c>
      <c r="B50" s="1" t="n">
        <v>43627</v>
      </c>
      <c r="C50" s="1" t="n">
        <v>45294</v>
      </c>
      <c r="D50" t="inlineStr">
        <is>
          <t>NORRBOTTENS LÄN</t>
        </is>
      </c>
      <c r="E50" t="inlineStr">
        <is>
          <t>ARJEPLOG</t>
        </is>
      </c>
      <c r="F50" t="inlineStr">
        <is>
          <t>Övriga statliga verk och myndigheter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32493-2019</t>
        </is>
      </c>
      <c r="B51" s="1" t="n">
        <v>43644</v>
      </c>
      <c r="C51" s="1" t="n">
        <v>45294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35842-2019</t>
        </is>
      </c>
      <c r="B52" s="1" t="n">
        <v>43665</v>
      </c>
      <c r="C52" s="1" t="n">
        <v>45294</v>
      </c>
      <c r="D52" t="inlineStr">
        <is>
          <t>NORRBOTTENS LÄN</t>
        </is>
      </c>
      <c r="E52" t="inlineStr">
        <is>
          <t>ARJEPLOG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40255-2019</t>
        </is>
      </c>
      <c r="B53" s="1" t="n">
        <v>43695</v>
      </c>
      <c r="C53" s="1" t="n">
        <v>45294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41772-2019</t>
        </is>
      </c>
      <c r="B54" s="1" t="n">
        <v>43699</v>
      </c>
      <c r="C54" s="1" t="n">
        <v>45294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41774-2019</t>
        </is>
      </c>
      <c r="B55" s="1" t="n">
        <v>43699</v>
      </c>
      <c r="C55" s="1" t="n">
        <v>45294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42077-2019</t>
        </is>
      </c>
      <c r="B56" s="1" t="n">
        <v>43700</v>
      </c>
      <c r="C56" s="1" t="n">
        <v>45294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42333-2019</t>
        </is>
      </c>
      <c r="B57" s="1" t="n">
        <v>43703</v>
      </c>
      <c r="C57" s="1" t="n">
        <v>45294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49149-2019</t>
        </is>
      </c>
      <c r="B58" s="1" t="n">
        <v>43728</v>
      </c>
      <c r="C58" s="1" t="n">
        <v>45294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49218-2019</t>
        </is>
      </c>
      <c r="B59" s="1" t="n">
        <v>43731</v>
      </c>
      <c r="C59" s="1" t="n">
        <v>45294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59550-2019</t>
        </is>
      </c>
      <c r="B60" s="1" t="n">
        <v>43776</v>
      </c>
      <c r="C60" s="1" t="n">
        <v>45294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65220-2019</t>
        </is>
      </c>
      <c r="B61" s="1" t="n">
        <v>43797</v>
      </c>
      <c r="C61" s="1" t="n">
        <v>45294</v>
      </c>
      <c r="D61" t="inlineStr">
        <is>
          <t>NORRBOTTENS LÄN</t>
        </is>
      </c>
      <c r="E61" t="inlineStr">
        <is>
          <t>ARJEPLOG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65894-2019</t>
        </is>
      </c>
      <c r="B62" s="1" t="n">
        <v>43798</v>
      </c>
      <c r="C62" s="1" t="n">
        <v>45294</v>
      </c>
      <c r="D62" t="inlineStr">
        <is>
          <t>NORRBOTTENS LÄN</t>
        </is>
      </c>
      <c r="E62" t="inlineStr">
        <is>
          <t>ARJEPLOG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66484-2019</t>
        </is>
      </c>
      <c r="B63" s="1" t="n">
        <v>43803</v>
      </c>
      <c r="C63" s="1" t="n">
        <v>45294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816-2020</t>
        </is>
      </c>
      <c r="B64" s="1" t="n">
        <v>43838</v>
      </c>
      <c r="C64" s="1" t="n">
        <v>45294</v>
      </c>
      <c r="D64" t="inlineStr">
        <is>
          <t>NORRBOTTENS LÄN</t>
        </is>
      </c>
      <c r="E64" t="inlineStr">
        <is>
          <t>ARJEPLOG</t>
        </is>
      </c>
      <c r="F64" t="inlineStr">
        <is>
          <t>SCA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815-2020</t>
        </is>
      </c>
      <c r="B65" s="1" t="n">
        <v>43838</v>
      </c>
      <c r="C65" s="1" t="n">
        <v>45294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11303-2020</t>
        </is>
      </c>
      <c r="B66" s="1" t="n">
        <v>43892</v>
      </c>
      <c r="C66" s="1" t="n">
        <v>45294</v>
      </c>
      <c r="D66" t="inlineStr">
        <is>
          <t>NORRBOTTENS LÄN</t>
        </is>
      </c>
      <c r="E66" t="inlineStr">
        <is>
          <t>ARJEPLOG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17204-2020</t>
        </is>
      </c>
      <c r="B67" s="1" t="n">
        <v>43913</v>
      </c>
      <c r="C67" s="1" t="n">
        <v>45294</v>
      </c>
      <c r="D67" t="inlineStr">
        <is>
          <t>NORRBOTTENS LÄN</t>
        </is>
      </c>
      <c r="E67" t="inlineStr">
        <is>
          <t>ARJEPLOG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17025-2020</t>
        </is>
      </c>
      <c r="B68" s="1" t="n">
        <v>43913</v>
      </c>
      <c r="C68" s="1" t="n">
        <v>45294</v>
      </c>
      <c r="D68" t="inlineStr">
        <is>
          <t>NORRBOTTENS LÄN</t>
        </is>
      </c>
      <c r="E68" t="inlineStr">
        <is>
          <t>ARJEPLOG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17208-2020</t>
        </is>
      </c>
      <c r="B69" s="1" t="n">
        <v>43914</v>
      </c>
      <c r="C69" s="1" t="n">
        <v>45294</v>
      </c>
      <c r="D69" t="inlineStr">
        <is>
          <t>NORRBOTTENS LÄN</t>
        </is>
      </c>
      <c r="E69" t="inlineStr">
        <is>
          <t>ARJEPLOG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17244-2020</t>
        </is>
      </c>
      <c r="B70" s="1" t="n">
        <v>43914</v>
      </c>
      <c r="C70" s="1" t="n">
        <v>45294</v>
      </c>
      <c r="D70" t="inlineStr">
        <is>
          <t>NORRBOTTENS LÄN</t>
        </is>
      </c>
      <c r="E70" t="inlineStr">
        <is>
          <t>ARJEPLOG</t>
        </is>
      </c>
      <c r="G70" t="n">
        <v>18.3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17744-2020</t>
        </is>
      </c>
      <c r="B71" s="1" t="n">
        <v>43914</v>
      </c>
      <c r="C71" s="1" t="n">
        <v>45294</v>
      </c>
      <c r="D71" t="inlineStr">
        <is>
          <t>NORRBOTTENS LÄN</t>
        </is>
      </c>
      <c r="E71" t="inlineStr">
        <is>
          <t>ARJEPLOG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17761-2020</t>
        </is>
      </c>
      <c r="B72" s="1" t="n">
        <v>43914</v>
      </c>
      <c r="C72" s="1" t="n">
        <v>45294</v>
      </c>
      <c r="D72" t="inlineStr">
        <is>
          <t>NORRBOTTENS LÄN</t>
        </is>
      </c>
      <c r="E72" t="inlineStr">
        <is>
          <t>ARJEPLOG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25139-2020</t>
        </is>
      </c>
      <c r="B73" s="1" t="n">
        <v>43979</v>
      </c>
      <c r="C73" s="1" t="n">
        <v>45294</v>
      </c>
      <c r="D73" t="inlineStr">
        <is>
          <t>NORRBOTTENS LÄN</t>
        </is>
      </c>
      <c r="E73" t="inlineStr">
        <is>
          <t>ARJEPLOG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30397-2020</t>
        </is>
      </c>
      <c r="B74" s="1" t="n">
        <v>44007</v>
      </c>
      <c r="C74" s="1" t="n">
        <v>45294</v>
      </c>
      <c r="D74" t="inlineStr">
        <is>
          <t>NORRBOTTENS LÄN</t>
        </is>
      </c>
      <c r="E74" t="inlineStr">
        <is>
          <t>ARJEPLOG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33219-2020</t>
        </is>
      </c>
      <c r="B75" s="1" t="n">
        <v>44020</v>
      </c>
      <c r="C75" s="1" t="n">
        <v>45294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33717-2020</t>
        </is>
      </c>
      <c r="B76" s="1" t="n">
        <v>44026</v>
      </c>
      <c r="C76" s="1" t="n">
        <v>45294</v>
      </c>
      <c r="D76" t="inlineStr">
        <is>
          <t>NORRBOTTENS LÄN</t>
        </is>
      </c>
      <c r="E76" t="inlineStr">
        <is>
          <t>ARJEPLOG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33720-2020</t>
        </is>
      </c>
      <c r="B77" s="1" t="n">
        <v>44026</v>
      </c>
      <c r="C77" s="1" t="n">
        <v>45294</v>
      </c>
      <c r="D77" t="inlineStr">
        <is>
          <t>NORRBOTTENS LÄN</t>
        </is>
      </c>
      <c r="E77" t="inlineStr">
        <is>
          <t>ARJEPLOG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61272-2020</t>
        </is>
      </c>
      <c r="B78" s="1" t="n">
        <v>44154</v>
      </c>
      <c r="C78" s="1" t="n">
        <v>45294</v>
      </c>
      <c r="D78" t="inlineStr">
        <is>
          <t>NORRBOTTENS LÄN</t>
        </is>
      </c>
      <c r="E78" t="inlineStr">
        <is>
          <t>ARJEPLOG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61050-2020</t>
        </is>
      </c>
      <c r="B79" s="1" t="n">
        <v>44154</v>
      </c>
      <c r="C79" s="1" t="n">
        <v>45294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17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64857-2020</t>
        </is>
      </c>
      <c r="B80" s="1" t="n">
        <v>44171</v>
      </c>
      <c r="C80" s="1" t="n">
        <v>45294</v>
      </c>
      <c r="D80" t="inlineStr">
        <is>
          <t>NORRBOTTENS LÄN</t>
        </is>
      </c>
      <c r="E80" t="inlineStr">
        <is>
          <t>ARJEPLOG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8727-2021</t>
        </is>
      </c>
      <c r="B81" s="1" t="n">
        <v>44246</v>
      </c>
      <c r="C81" s="1" t="n">
        <v>45294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8721-2021</t>
        </is>
      </c>
      <c r="B82" s="1" t="n">
        <v>44246</v>
      </c>
      <c r="C82" s="1" t="n">
        <v>45294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48.3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14375-2021</t>
        </is>
      </c>
      <c r="B83" s="1" t="n">
        <v>44279</v>
      </c>
      <c r="C83" s="1" t="n">
        <v>45294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60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31439-2021</t>
        </is>
      </c>
      <c r="B84" s="1" t="n">
        <v>44369</v>
      </c>
      <c r="C84" s="1" t="n">
        <v>45294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34810-2021</t>
        </is>
      </c>
      <c r="B85" s="1" t="n">
        <v>44382</v>
      </c>
      <c r="C85" s="1" t="n">
        <v>45294</v>
      </c>
      <c r="D85" t="inlineStr">
        <is>
          <t>NORRBOTTENS LÄN</t>
        </is>
      </c>
      <c r="E85" t="inlineStr">
        <is>
          <t>ARJEPLOG</t>
        </is>
      </c>
      <c r="G85" t="n">
        <v>19.9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41799-2021</t>
        </is>
      </c>
      <c r="B86" s="1" t="n">
        <v>44425</v>
      </c>
      <c r="C86" s="1" t="n">
        <v>45294</v>
      </c>
      <c r="D86" t="inlineStr">
        <is>
          <t>NORRBOTTENS LÄN</t>
        </is>
      </c>
      <c r="E86" t="inlineStr">
        <is>
          <t>ARJEPLOG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46585-2021</t>
        </is>
      </c>
      <c r="B87" s="1" t="n">
        <v>44445</v>
      </c>
      <c r="C87" s="1" t="n">
        <v>45294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54589-2021</t>
        </is>
      </c>
      <c r="B88" s="1" t="n">
        <v>44473</v>
      </c>
      <c r="C88" s="1" t="n">
        <v>45294</v>
      </c>
      <c r="D88" t="inlineStr">
        <is>
          <t>NORRBOTTENS LÄN</t>
        </is>
      </c>
      <c r="E88" t="inlineStr">
        <is>
          <t>ARJEPLOG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55422-2021</t>
        </is>
      </c>
      <c r="B89" s="1" t="n">
        <v>44475</v>
      </c>
      <c r="C89" s="1" t="n">
        <v>45294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56275-2021</t>
        </is>
      </c>
      <c r="B90" s="1" t="n">
        <v>44479</v>
      </c>
      <c r="C90" s="1" t="n">
        <v>45294</v>
      </c>
      <c r="D90" t="inlineStr">
        <is>
          <t>NORRBOTTENS LÄN</t>
        </is>
      </c>
      <c r="E90" t="inlineStr">
        <is>
          <t>ARJEPLOG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56274-2021</t>
        </is>
      </c>
      <c r="B91" s="1" t="n">
        <v>44479</v>
      </c>
      <c r="C91" s="1" t="n">
        <v>45294</v>
      </c>
      <c r="D91" t="inlineStr">
        <is>
          <t>NORRBOTTENS LÄN</t>
        </is>
      </c>
      <c r="E91" t="inlineStr">
        <is>
          <t>ARJEPLOG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56278-2021</t>
        </is>
      </c>
      <c r="B92" s="1" t="n">
        <v>44479</v>
      </c>
      <c r="C92" s="1" t="n">
        <v>45294</v>
      </c>
      <c r="D92" t="inlineStr">
        <is>
          <t>NORRBOTTENS LÄN</t>
        </is>
      </c>
      <c r="E92" t="inlineStr">
        <is>
          <t>ARJEPLOG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56276-2021</t>
        </is>
      </c>
      <c r="B93" s="1" t="n">
        <v>44479</v>
      </c>
      <c r="C93" s="1" t="n">
        <v>45294</v>
      </c>
      <c r="D93" t="inlineStr">
        <is>
          <t>NORRBOTTENS LÄN</t>
        </is>
      </c>
      <c r="E93" t="inlineStr">
        <is>
          <t>ARJEPLOG</t>
        </is>
      </c>
      <c r="G93" t="n">
        <v>19.8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56277-2021</t>
        </is>
      </c>
      <c r="B94" s="1" t="n">
        <v>44479</v>
      </c>
      <c r="C94" s="1" t="n">
        <v>45294</v>
      </c>
      <c r="D94" t="inlineStr">
        <is>
          <t>NORRBOTTENS LÄN</t>
        </is>
      </c>
      <c r="E94" t="inlineStr">
        <is>
          <t>ARJEPLOG</t>
        </is>
      </c>
      <c r="G94" t="n">
        <v>19.4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58879-2021</t>
        </is>
      </c>
      <c r="B95" s="1" t="n">
        <v>44489</v>
      </c>
      <c r="C95" s="1" t="n">
        <v>45294</v>
      </c>
      <c r="D95" t="inlineStr">
        <is>
          <t>NORRBOTTENS LÄN</t>
        </is>
      </c>
      <c r="E95" t="inlineStr">
        <is>
          <t>ARJEPLOG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66844-2021</t>
        </is>
      </c>
      <c r="B96" s="1" t="n">
        <v>44520</v>
      </c>
      <c r="C96" s="1" t="n">
        <v>45294</v>
      </c>
      <c r="D96" t="inlineStr">
        <is>
          <t>NORRBOTTENS LÄN</t>
        </is>
      </c>
      <c r="E96" t="inlineStr">
        <is>
          <t>ARJEPLOG</t>
        </is>
      </c>
      <c r="G96" t="n">
        <v>44.8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70865-2021</t>
        </is>
      </c>
      <c r="B97" s="1" t="n">
        <v>44537</v>
      </c>
      <c r="C97" s="1" t="n">
        <v>45294</v>
      </c>
      <c r="D97" t="inlineStr">
        <is>
          <t>NORRBOTTENS LÄN</t>
        </is>
      </c>
      <c r="E97" t="inlineStr">
        <is>
          <t>ARJEPLOG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72279-2021</t>
        </is>
      </c>
      <c r="B98" s="1" t="n">
        <v>44543</v>
      </c>
      <c r="C98" s="1" t="n">
        <v>45294</v>
      </c>
      <c r="D98" t="inlineStr">
        <is>
          <t>NORRBOTTENS LÄN</t>
        </is>
      </c>
      <c r="E98" t="inlineStr">
        <is>
          <t>ARJEPLOG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73880-2021</t>
        </is>
      </c>
      <c r="B99" s="1" t="n">
        <v>44552</v>
      </c>
      <c r="C99" s="1" t="n">
        <v>45294</v>
      </c>
      <c r="D99" t="inlineStr">
        <is>
          <t>NORRBOTTENS LÄN</t>
        </is>
      </c>
      <c r="E99" t="inlineStr">
        <is>
          <t>ARJEPLOG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12789-2022</t>
        </is>
      </c>
      <c r="B100" s="1" t="n">
        <v>44642</v>
      </c>
      <c r="C100" s="1" t="n">
        <v>45294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56.1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19514-2022</t>
        </is>
      </c>
      <c r="B101" s="1" t="n">
        <v>44693</v>
      </c>
      <c r="C101" s="1" t="n">
        <v>45294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19620-2022</t>
        </is>
      </c>
      <c r="B102" s="1" t="n">
        <v>44694</v>
      </c>
      <c r="C102" s="1" t="n">
        <v>45294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20789-2022</t>
        </is>
      </c>
      <c r="B103" s="1" t="n">
        <v>44701</v>
      </c>
      <c r="C103" s="1" t="n">
        <v>45294</v>
      </c>
      <c r="D103" t="inlineStr">
        <is>
          <t>NORRBOTTENS LÄN</t>
        </is>
      </c>
      <c r="E103" t="inlineStr">
        <is>
          <t>ARJEPLOG</t>
        </is>
      </c>
      <c r="G103" t="n">
        <v>20.3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21004-2022</t>
        </is>
      </c>
      <c r="B104" s="1" t="n">
        <v>44701</v>
      </c>
      <c r="C104" s="1" t="n">
        <v>45294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25559-2022</t>
        </is>
      </c>
      <c r="B105" s="1" t="n">
        <v>44732</v>
      </c>
      <c r="C105" s="1" t="n">
        <v>45294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26773-2022</t>
        </is>
      </c>
      <c r="B106" s="1" t="n">
        <v>44732</v>
      </c>
      <c r="C106" s="1" t="n">
        <v>45294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28354-2022</t>
        </is>
      </c>
      <c r="B107" s="1" t="n">
        <v>44735</v>
      </c>
      <c r="C107" s="1" t="n">
        <v>45294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26811-2022</t>
        </is>
      </c>
      <c r="B108" s="1" t="n">
        <v>44735</v>
      </c>
      <c r="C108" s="1" t="n">
        <v>45294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28358-2022</t>
        </is>
      </c>
      <c r="B109" s="1" t="n">
        <v>44735</v>
      </c>
      <c r="C109" s="1" t="n">
        <v>45294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27092-2022</t>
        </is>
      </c>
      <c r="B110" s="1" t="n">
        <v>44741</v>
      </c>
      <c r="C110" s="1" t="n">
        <v>45294</v>
      </c>
      <c r="D110" t="inlineStr">
        <is>
          <t>NORRBOTTENS LÄN</t>
        </is>
      </c>
      <c r="E110" t="inlineStr">
        <is>
          <t>ARJEPLOG</t>
        </is>
      </c>
      <c r="G110" t="n">
        <v>15.6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41007-2022</t>
        </is>
      </c>
      <c r="B111" s="1" t="n">
        <v>44823</v>
      </c>
      <c r="C111" s="1" t="n">
        <v>45294</v>
      </c>
      <c r="D111" t="inlineStr">
        <is>
          <t>NORRBOTTENS LÄN</t>
        </is>
      </c>
      <c r="E111" t="inlineStr">
        <is>
          <t>ARJEPLOG</t>
        </is>
      </c>
      <c r="G111" t="n">
        <v>32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42274-2022</t>
        </is>
      </c>
      <c r="B112" s="1" t="n">
        <v>44830</v>
      </c>
      <c r="C112" s="1" t="n">
        <v>45294</v>
      </c>
      <c r="D112" t="inlineStr">
        <is>
          <t>NORRBOTTENS LÄN</t>
        </is>
      </c>
      <c r="E112" t="inlineStr">
        <is>
          <t>ARJEPLOG</t>
        </is>
      </c>
      <c r="F112" t="inlineStr">
        <is>
          <t>SCA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43045-2022</t>
        </is>
      </c>
      <c r="B113" s="1" t="n">
        <v>44833</v>
      </c>
      <c r="C113" s="1" t="n">
        <v>45294</v>
      </c>
      <c r="D113" t="inlineStr">
        <is>
          <t>NORRBOTTENS LÄN</t>
        </is>
      </c>
      <c r="E113" t="inlineStr">
        <is>
          <t>ARJEPLOG</t>
        </is>
      </c>
      <c r="G113" t="n">
        <v>49.2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44751-2022</t>
        </is>
      </c>
      <c r="B114" s="1" t="n">
        <v>44840</v>
      </c>
      <c r="C114" s="1" t="n">
        <v>45294</v>
      </c>
      <c r="D114" t="inlineStr">
        <is>
          <t>NORRBOTTENS LÄN</t>
        </is>
      </c>
      <c r="E114" t="inlineStr">
        <is>
          <t>ARJEPLOG</t>
        </is>
      </c>
      <c r="F114" t="inlineStr">
        <is>
          <t>SCA</t>
        </is>
      </c>
      <c r="G114" t="n">
        <v>26.1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46093-2022</t>
        </is>
      </c>
      <c r="B115" s="1" t="n">
        <v>44845</v>
      </c>
      <c r="C115" s="1" t="n">
        <v>45294</v>
      </c>
      <c r="D115" t="inlineStr">
        <is>
          <t>NORRBOTTENS LÄN</t>
        </is>
      </c>
      <c r="E115" t="inlineStr">
        <is>
          <t>ARJEPLOG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52573-2022</t>
        </is>
      </c>
      <c r="B116" s="1" t="n">
        <v>44874</v>
      </c>
      <c r="C116" s="1" t="n">
        <v>45294</v>
      </c>
      <c r="D116" t="inlineStr">
        <is>
          <t>NORRBOTTENS LÄN</t>
        </is>
      </c>
      <c r="E116" t="inlineStr">
        <is>
          <t>ARJEPLOG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52581-2022</t>
        </is>
      </c>
      <c r="B117" s="1" t="n">
        <v>44874</v>
      </c>
      <c r="C117" s="1" t="n">
        <v>45294</v>
      </c>
      <c r="D117" t="inlineStr">
        <is>
          <t>NORRBOTTENS LÄN</t>
        </is>
      </c>
      <c r="E117" t="inlineStr">
        <is>
          <t>ARJEPLOG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8625-2023</t>
        </is>
      </c>
      <c r="B118" s="1" t="n">
        <v>44977</v>
      </c>
      <c r="C118" s="1" t="n">
        <v>45294</v>
      </c>
      <c r="D118" t="inlineStr">
        <is>
          <t>NORRBOTTENS LÄN</t>
        </is>
      </c>
      <c r="E118" t="inlineStr">
        <is>
          <t>ARJEPLOG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12656-2023</t>
        </is>
      </c>
      <c r="B119" s="1" t="n">
        <v>44999</v>
      </c>
      <c r="C119" s="1" t="n">
        <v>45294</v>
      </c>
      <c r="D119" t="inlineStr">
        <is>
          <t>NORRBOTTENS LÄN</t>
        </is>
      </c>
      <c r="E119" t="inlineStr">
        <is>
          <t>ARJEPLOG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13590-2023</t>
        </is>
      </c>
      <c r="B120" s="1" t="n">
        <v>45005</v>
      </c>
      <c r="C120" s="1" t="n">
        <v>45294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17536-2023</t>
        </is>
      </c>
      <c r="B121" s="1" t="n">
        <v>45034</v>
      </c>
      <c r="C121" s="1" t="n">
        <v>45294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20.3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25275-2023</t>
        </is>
      </c>
      <c r="B122" s="1" t="n">
        <v>45079</v>
      </c>
      <c r="C122" s="1" t="n">
        <v>45294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25239-2023</t>
        </is>
      </c>
      <c r="B123" s="1" t="n">
        <v>45079</v>
      </c>
      <c r="C123" s="1" t="n">
        <v>45294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25270-2023</t>
        </is>
      </c>
      <c r="B124" s="1" t="n">
        <v>45079</v>
      </c>
      <c r="C124" s="1" t="n">
        <v>45294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29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30592-2023</t>
        </is>
      </c>
      <c r="B125" s="1" t="n">
        <v>45112</v>
      </c>
      <c r="C125" s="1" t="n">
        <v>45294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30726-2023</t>
        </is>
      </c>
      <c r="B126" s="1" t="n">
        <v>45112</v>
      </c>
      <c r="C126" s="1" t="n">
        <v>45294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30730-2023</t>
        </is>
      </c>
      <c r="B127" s="1" t="n">
        <v>45112</v>
      </c>
      <c r="C127" s="1" t="n">
        <v>45294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20.9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30870-2023</t>
        </is>
      </c>
      <c r="B128" s="1" t="n">
        <v>45113</v>
      </c>
      <c r="C128" s="1" t="n">
        <v>45294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35806-2023</t>
        </is>
      </c>
      <c r="B129" s="1" t="n">
        <v>45147</v>
      </c>
      <c r="C129" s="1" t="n">
        <v>45294</v>
      </c>
      <c r="D129" t="inlineStr">
        <is>
          <t>NORRBOTTENS LÄN</t>
        </is>
      </c>
      <c r="E129" t="inlineStr">
        <is>
          <t>ARJEPLOG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36623-2023</t>
        </is>
      </c>
      <c r="B130" s="1" t="n">
        <v>45153</v>
      </c>
      <c r="C130" s="1" t="n">
        <v>45294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16.9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44218-2023</t>
        </is>
      </c>
      <c r="B131" s="1" t="n">
        <v>45183</v>
      </c>
      <c r="C131" s="1" t="n">
        <v>45294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45072-2023</t>
        </is>
      </c>
      <c r="B132" s="1" t="n">
        <v>45187</v>
      </c>
      <c r="C132" s="1" t="n">
        <v>45294</v>
      </c>
      <c r="D132" t="inlineStr">
        <is>
          <t>NORRBOTTENS LÄN</t>
        </is>
      </c>
      <c r="E132" t="inlineStr">
        <is>
          <t>ARJEPLOG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45064-2023</t>
        </is>
      </c>
      <c r="B133" s="1" t="n">
        <v>45187</v>
      </c>
      <c r="C133" s="1" t="n">
        <v>45294</v>
      </c>
      <c r="D133" t="inlineStr">
        <is>
          <t>NORRBOTTENS LÄN</t>
        </is>
      </c>
      <c r="E133" t="inlineStr">
        <is>
          <t>ARJEPLOG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45924-2023</t>
        </is>
      </c>
      <c r="B134" s="1" t="n">
        <v>45189</v>
      </c>
      <c r="C134" s="1" t="n">
        <v>45294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48376-2023</t>
        </is>
      </c>
      <c r="B135" s="1" t="n">
        <v>45205</v>
      </c>
      <c r="C135" s="1" t="n">
        <v>45294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Aktiebolag</t>
        </is>
      </c>
      <c r="G135" t="n">
        <v>18.3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48940-2023</t>
        </is>
      </c>
      <c r="B136" s="1" t="n">
        <v>45205</v>
      </c>
      <c r="C136" s="1" t="n">
        <v>45294</v>
      </c>
      <c r="D136" t="inlineStr">
        <is>
          <t>NORRBOTTENS LÄN</t>
        </is>
      </c>
      <c r="E136" t="inlineStr">
        <is>
          <t>ARJEPLOG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45294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59124-2023</t>
        </is>
      </c>
      <c r="B138" s="1" t="n">
        <v>45251</v>
      </c>
      <c r="C138" s="1" t="n">
        <v>45294</v>
      </c>
      <c r="D138" t="inlineStr">
        <is>
          <t>NORRBOTTENS LÄN</t>
        </is>
      </c>
      <c r="E138" t="inlineStr">
        <is>
          <t>ARJEPLOG</t>
        </is>
      </c>
      <c r="G138" t="n">
        <v>22.3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62811-2023</t>
        </is>
      </c>
      <c r="B139" s="1" t="n">
        <v>45268</v>
      </c>
      <c r="C139" s="1" t="n">
        <v>45294</v>
      </c>
      <c r="D139" t="inlineStr">
        <is>
          <t>NORRBOTTENS LÄN</t>
        </is>
      </c>
      <c r="E139" t="inlineStr">
        <is>
          <t>ARJEPLOG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45294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45294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64805-2023</t>
        </is>
      </c>
      <c r="B142" s="1" t="n">
        <v>45281</v>
      </c>
      <c r="C142" s="1" t="n">
        <v>45294</v>
      </c>
      <c r="D142" t="inlineStr">
        <is>
          <t>NORRBOTTENS LÄN</t>
        </is>
      </c>
      <c r="E142" t="inlineStr">
        <is>
          <t>ARJEPLOG</t>
        </is>
      </c>
      <c r="F142" t="inlineStr">
        <is>
          <t>Sveaskog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64817-2023</t>
        </is>
      </c>
      <c r="B143" s="1" t="n">
        <v>45281</v>
      </c>
      <c r="C143" s="1" t="n">
        <v>45294</v>
      </c>
      <c r="D143" t="inlineStr">
        <is>
          <t>NORRBOTTENS LÄN</t>
        </is>
      </c>
      <c r="E143" t="inlineStr">
        <is>
          <t>ARJEPLOG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64809-2023</t>
        </is>
      </c>
      <c r="B144" s="1" t="n">
        <v>45281</v>
      </c>
      <c r="C144" s="1" t="n">
        <v>45294</v>
      </c>
      <c r="D144" t="inlineStr">
        <is>
          <t>NORRBOTTENS LÄN</t>
        </is>
      </c>
      <c r="E144" t="inlineStr">
        <is>
          <t>ARJEPLOG</t>
        </is>
      </c>
      <c r="G144" t="n">
        <v>17.8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64826-2023</t>
        </is>
      </c>
      <c r="B145" s="1" t="n">
        <v>45281</v>
      </c>
      <c r="C145" s="1" t="n">
        <v>45294</v>
      </c>
      <c r="D145" t="inlineStr">
        <is>
          <t>NORRBOTTENS LÄN</t>
        </is>
      </c>
      <c r="E145" t="inlineStr">
        <is>
          <t>ARJEPLOG</t>
        </is>
      </c>
      <c r="F145" t="inlineStr">
        <is>
          <t>Sveaskog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64840-2023</t>
        </is>
      </c>
      <c r="B146" s="1" t="n">
        <v>45281</v>
      </c>
      <c r="C146" s="1" t="n">
        <v>45294</v>
      </c>
      <c r="D146" t="inlineStr">
        <is>
          <t>NORRBOTTENS LÄN</t>
        </is>
      </c>
      <c r="E146" t="inlineStr">
        <is>
          <t>ARJEPLOG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64822-2023</t>
        </is>
      </c>
      <c r="B147" s="1" t="n">
        <v>45281</v>
      </c>
      <c r="C147" s="1" t="n">
        <v>45294</v>
      </c>
      <c r="D147" t="inlineStr">
        <is>
          <t>NORRBOTTENS LÄN</t>
        </is>
      </c>
      <c r="E147" t="inlineStr">
        <is>
          <t>ARJEPLOG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64832-2023</t>
        </is>
      </c>
      <c r="B148" s="1" t="n">
        <v>45281</v>
      </c>
      <c r="C148" s="1" t="n">
        <v>45294</v>
      </c>
      <c r="D148" t="inlineStr">
        <is>
          <t>NORRBOTTENS LÄN</t>
        </is>
      </c>
      <c r="E148" t="inlineStr">
        <is>
          <t>ARJEPLOG</t>
        </is>
      </c>
      <c r="G148" t="n">
        <v>43.6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64816-2023</t>
        </is>
      </c>
      <c r="B149" s="1" t="n">
        <v>45281</v>
      </c>
      <c r="C149" s="1" t="n">
        <v>45294</v>
      </c>
      <c r="D149" t="inlineStr">
        <is>
          <t>NORRBOTTENS LÄN</t>
        </is>
      </c>
      <c r="E149" t="inlineStr">
        <is>
          <t>ARJEPLOG</t>
        </is>
      </c>
      <c r="G149" t="n">
        <v>13.4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64837-2023</t>
        </is>
      </c>
      <c r="B150" s="1" t="n">
        <v>45281</v>
      </c>
      <c r="C150" s="1" t="n">
        <v>45294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2024-01-03T10:02:18Z</dcterms:created>
  <dcterms:modified xmlns:dcterms="http://purl.org/dc/terms/" xmlns:xsi="http://www.w3.org/2001/XMLSchema-instance" xsi:type="dcterms:W3CDTF">2024-01-03T10:02:18Z</dcterms:modified>
</cp:coreProperties>
</file>