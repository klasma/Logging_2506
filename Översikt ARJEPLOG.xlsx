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46256</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46256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46256</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46256</v>
      </c>
      <c r="F5" t="inlineStr">
        <is>
          <t>NORRBOTTENS LÄN</t>
        </is>
      </c>
      <c r="G5" t="inlineStr">
        <is>
          <t>ARJEPLOG</t>
        </is>
      </c>
      <c r="I5" t="n">
        <v>12.9</v>
      </c>
      <c r="J5" t="n">
        <v>8</v>
      </c>
      <c r="K5" t="n">
        <v>12</v>
      </c>
      <c r="L5" t="n">
        <v>15</v>
      </c>
      <c r="M5" t="n">
        <v>8</v>
      </c>
      <c r="N5" t="n">
        <v>0</v>
      </c>
      <c r="O5" t="n">
        <v>0</v>
      </c>
      <c r="P5" t="n">
        <v>0</v>
      </c>
      <c r="Q5" t="n">
        <v>23</v>
      </c>
      <c r="R5" t="n">
        <v>8</v>
      </c>
      <c r="S5" t="n">
        <v>37</v>
      </c>
      <c r="T5" t="n">
        <v>258</v>
      </c>
      <c r="U5" t="n">
        <v>258</v>
      </c>
      <c r="V5"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46256</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46256</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46256</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46256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46256</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46256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46256</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46256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46256</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46256</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46256</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46256</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46256</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46256</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46256</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46256</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46256</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45417-2024</t>
        </is>
      </c>
      <c r="B23" t="inlineStr">
        <is>
          <t>avverkningsanmälan</t>
        </is>
      </c>
      <c r="C23" t="inlineStr">
        <is>
          <t>Föryngringsavverkning</t>
        </is>
      </c>
      <c r="D23" s="1" t="n">
        <v>45576</v>
      </c>
      <c r="E23" s="1" t="n">
        <v>46256</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46256</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46256</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46256</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48673-2023</t>
        </is>
      </c>
      <c r="B27" t="inlineStr">
        <is>
          <t>avverkningsanmälan</t>
        </is>
      </c>
      <c r="C27" t="inlineStr">
        <is>
          <t>Föryngringsavverkning</t>
        </is>
      </c>
      <c r="D27" s="1" t="n">
        <v>45203</v>
      </c>
      <c r="E27" s="1" t="n">
        <v>46256</v>
      </c>
      <c r="F27" t="inlineStr">
        <is>
          <t>NORRBOTTENS LÄN</t>
        </is>
      </c>
      <c r="G27" t="inlineStr">
        <is>
          <t>ARJEPLOG</t>
        </is>
      </c>
      <c r="I27" t="n">
        <v>32.7</v>
      </c>
      <c r="J27" t="n">
        <v>1</v>
      </c>
      <c r="K27" t="n">
        <v>0</v>
      </c>
      <c r="L27" t="n">
        <v>5</v>
      </c>
      <c r="M27" t="n">
        <v>3</v>
      </c>
      <c r="N27" t="n">
        <v>0</v>
      </c>
      <c r="O27" t="n">
        <v>0</v>
      </c>
      <c r="P27" t="n">
        <v>0</v>
      </c>
      <c r="Q27" t="n">
        <v>8</v>
      </c>
      <c r="R27" t="n">
        <v>3</v>
      </c>
      <c r="S27" t="n">
        <v>8</v>
      </c>
      <c r="T27" t="n">
        <v>8</v>
      </c>
      <c r="U27" t="n">
        <v>0</v>
      </c>
      <c r="V27" s="2" t="inlineStr">
        <is>
          <t>Garnlav
Gränsticka
Hökuggla
Harticka
Lunglav
Rosenticka
Rynkskinn
Ullticka</t>
        </is>
      </c>
      <c r="W27">
        <f>HYPERLINK("https://klasma.github.io/Logging_2506/artfynd/A 48673-2023 artfynd.xlsx", "A 48673-2023")</f>
        <v/>
      </c>
      <c r="X27">
        <f>HYPERLINK("https://klasma.github.io/Logging_2506/kartor/A 48673-2023 karta.png", "A 48673-2023")</f>
        <v/>
      </c>
      <c r="Y27">
        <f>HYPERLINK("https://klasma.github.io/Logging_2506/kartor_geotiff/A 48673-2023 georefererad karta.tif", "A 48673-2023")</f>
        <v/>
      </c>
      <c r="AA27">
        <f>HYPERLINK("https://klasma.github.io/Logging_2506/klagomål/A 48673-2023 FSC-klagomål.docx", "A 48673-2023")</f>
        <v/>
      </c>
      <c r="AB27">
        <f>HYPERLINK("https://klasma.github.io/Logging_2506/klagomålsmail/A 48673-2023 FSC-klagomål mail.docx", "A 48673-2023")</f>
        <v/>
      </c>
      <c r="AC27">
        <f>HYPERLINK("https://klasma.github.io/Logging_2506/tillsyn/A 48673-2023 tillsynsbegäran.docx", "A 48673-2023")</f>
        <v/>
      </c>
      <c r="AD27">
        <f>HYPERLINK("https://klasma.github.io/Logging_2506/tillsynsmail/A 48673-2023 tillsynsbegäran mail.docx", "A 48673-2023")</f>
        <v/>
      </c>
      <c r="AE27">
        <f>HYPERLINK("https://klasma.github.io/Logging_2506/fåglar/A 48673-2023 prioriterade fågelarter.docx", "A 48673-2023")</f>
        <v/>
      </c>
    </row>
    <row r="28" ht="15" customHeight="1">
      <c r="A28" t="inlineStr">
        <is>
          <t>A 45032-2023</t>
        </is>
      </c>
      <c r="B28" t="inlineStr">
        <is>
          <t>avverkningsanmälan</t>
        </is>
      </c>
      <c r="C28" t="inlineStr">
        <is>
          <t>Föryngringsavverkning</t>
        </is>
      </c>
      <c r="D28" s="1" t="n">
        <v>45190</v>
      </c>
      <c r="E28" s="1" t="n">
        <v>46256</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4544-2024</t>
        </is>
      </c>
      <c r="B29" t="inlineStr">
        <is>
          <t>avverkningsanmälan</t>
        </is>
      </c>
      <c r="C29" t="inlineStr">
        <is>
          <t>Föryngringsavverkning</t>
        </is>
      </c>
      <c r="D29" s="1" t="n">
        <v>45327</v>
      </c>
      <c r="E29" s="1" t="n">
        <v>46256</v>
      </c>
      <c r="F29" t="inlineStr">
        <is>
          <t>NORRBOTTENS LÄN</t>
        </is>
      </c>
      <c r="G29" t="inlineStr">
        <is>
          <t>ARJEPLOG</t>
        </is>
      </c>
      <c r="I29" t="n">
        <v>6</v>
      </c>
      <c r="J29" t="n">
        <v>1</v>
      </c>
      <c r="K29" t="n">
        <v>1</v>
      </c>
      <c r="L29" t="n">
        <v>4</v>
      </c>
      <c r="M29" t="n">
        <v>2</v>
      </c>
      <c r="N29" t="n">
        <v>0</v>
      </c>
      <c r="O29" t="n">
        <v>0</v>
      </c>
      <c r="P29" t="n">
        <v>0</v>
      </c>
      <c r="Q29" t="n">
        <v>6</v>
      </c>
      <c r="R29" t="n">
        <v>2</v>
      </c>
      <c r="S29" t="n">
        <v>8</v>
      </c>
      <c r="T29" t="n">
        <v>17</v>
      </c>
      <c r="U29" t="n">
        <v>0</v>
      </c>
      <c r="V29" s="2" t="inlineStr">
        <is>
          <t>Garnlav
Tajgaskinn
Knottrig blåslav
Rosenticka
Rynkskinn
Ullticka
Blodticka
Tjäder</t>
        </is>
      </c>
      <c r="W29">
        <f>HYPERLINK("https://klasma.github.io/Logging_2506/artfynd/A 4544-2024 artfynd.xlsx", "A 4544-2024")</f>
        <v/>
      </c>
      <c r="X29">
        <f>HYPERLINK("https://klasma.github.io/Logging_2506/kartor/A 4544-2024 karta.png", "A 4544-2024")</f>
        <v/>
      </c>
      <c r="Y29">
        <f>HYPERLINK("https://klasma.github.io/Logging_2506/kartor_geotiff/A 4544-2024 georefererad karta.tif", "A 4544-2024")</f>
        <v/>
      </c>
      <c r="AA29">
        <f>HYPERLINK("https://klasma.github.io/Logging_2506/klagomål/A 4544-2024 FSC-klagomål.docx", "A 4544-2024")</f>
        <v/>
      </c>
      <c r="AB29">
        <f>HYPERLINK("https://klasma.github.io/Logging_2506/klagomålsmail/A 4544-2024 FSC-klagomål mail.docx", "A 4544-2024")</f>
        <v/>
      </c>
      <c r="AC29">
        <f>HYPERLINK("https://klasma.github.io/Logging_2506/tillsyn/A 4544-2024 tillsynsbegäran.docx", "A 4544-2024")</f>
        <v/>
      </c>
      <c r="AD29">
        <f>HYPERLINK("https://klasma.github.io/Logging_2506/tillsynsmail/A 4544-2024 tillsynsbegäran mail.docx", "A 4544-2024")</f>
        <v/>
      </c>
      <c r="AE29">
        <f>HYPERLINK("https://klasma.github.io/Logging_2506/fåglar/A 4544-2024 prioriterade fågelarter.docx", "A 4544-2024")</f>
        <v/>
      </c>
    </row>
    <row r="30" ht="15" customHeight="1">
      <c r="A30" t="inlineStr">
        <is>
          <t>A 28351-2025</t>
        </is>
      </c>
      <c r="B30" t="inlineStr">
        <is>
          <t>avverkningsanmälan</t>
        </is>
      </c>
      <c r="C30" t="inlineStr">
        <is>
          <t>Föryngringsavverkning</t>
        </is>
      </c>
      <c r="D30" s="1" t="n">
        <v>45818</v>
      </c>
      <c r="E30" s="1" t="n">
        <v>46256</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46256</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46256</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46256</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46256</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46256</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46256</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26143-2024</t>
        </is>
      </c>
      <c r="B37" t="inlineStr">
        <is>
          <t>avverkningsanmälan</t>
        </is>
      </c>
      <c r="C37" t="inlineStr">
        <is>
          <t>Föryngringsavverkning</t>
        </is>
      </c>
      <c r="D37" s="1" t="n">
        <v>45467</v>
      </c>
      <c r="E37" s="1" t="n">
        <v>46256</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46256</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46256</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46256</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46256</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46256</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46256</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46256</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46256</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46256</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46256</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46256</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46256</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46256</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46256</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46256</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46256</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46256</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46256</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46256</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43045-2022</t>
        </is>
      </c>
      <c r="B57" t="inlineStr">
        <is>
          <t>avverkningsanmälan</t>
        </is>
      </c>
      <c r="C57" t="inlineStr">
        <is>
          <t>Föryngringsavverkning</t>
        </is>
      </c>
      <c r="D57" s="1" t="n">
        <v>44833</v>
      </c>
      <c r="E57" s="1" t="n">
        <v>46256</v>
      </c>
      <c r="F57" t="inlineStr">
        <is>
          <t>NORRBOTTENS LÄN</t>
        </is>
      </c>
      <c r="G57" t="inlineStr">
        <is>
          <t>ARJEPLOG</t>
        </is>
      </c>
      <c r="I57" t="n">
        <v>24.6</v>
      </c>
      <c r="J57" t="n">
        <v>0</v>
      </c>
      <c r="K57" t="n">
        <v>0</v>
      </c>
      <c r="L57" t="n">
        <v>0</v>
      </c>
      <c r="M57" t="n">
        <v>0</v>
      </c>
      <c r="N57" t="n">
        <v>0</v>
      </c>
      <c r="O57" t="n">
        <v>0</v>
      </c>
      <c r="P57" t="n">
        <v>0</v>
      </c>
      <c r="Q57" t="n">
        <v>0</v>
      </c>
      <c r="R57" t="n">
        <v>0</v>
      </c>
      <c r="S57" t="n">
        <v>0</v>
      </c>
      <c r="T57" t="n">
        <v>0</v>
      </c>
      <c r="U57" t="n">
        <v>0</v>
      </c>
      <c r="V57" s="2" t="inlineStr"/>
    </row>
    <row r="58" ht="15" customHeight="1">
      <c r="A58" t="inlineStr">
        <is>
          <t>A 43045-2022</t>
        </is>
      </c>
      <c r="B58" t="inlineStr">
        <is>
          <t>avverkningsanmälan</t>
        </is>
      </c>
      <c r="C58" t="inlineStr">
        <is>
          <t>Föryngringsavverkning</t>
        </is>
      </c>
      <c r="D58" s="1" t="n">
        <v>44833</v>
      </c>
      <c r="E58" s="1" t="n">
        <v>46256</v>
      </c>
      <c r="F58" t="inlineStr">
        <is>
          <t>NORRBOTTENS LÄN</t>
        </is>
      </c>
      <c r="G58" t="inlineStr">
        <is>
          <t>ARJEPLOG</t>
        </is>
      </c>
      <c r="I58" t="n">
        <v>23.2</v>
      </c>
      <c r="J58" t="n">
        <v>0</v>
      </c>
      <c r="K58" t="n">
        <v>0</v>
      </c>
      <c r="L58" t="n">
        <v>0</v>
      </c>
      <c r="M58" t="n">
        <v>0</v>
      </c>
      <c r="N58" t="n">
        <v>0</v>
      </c>
      <c r="O58" t="n">
        <v>0</v>
      </c>
      <c r="P58" t="n">
        <v>0</v>
      </c>
      <c r="Q58" t="n">
        <v>0</v>
      </c>
      <c r="R58" t="n">
        <v>0</v>
      </c>
      <c r="S58" t="n">
        <v>0</v>
      </c>
      <c r="T58" t="n">
        <v>0</v>
      </c>
      <c r="U58" t="n">
        <v>0</v>
      </c>
      <c r="V58" s="2" t="inlineStr"/>
    </row>
    <row r="59" ht="15" customHeight="1">
      <c r="A59" t="inlineStr">
        <is>
          <t>A 46585-2021</t>
        </is>
      </c>
      <c r="B59" t="inlineStr">
        <is>
          <t>avverkningsanmälan</t>
        </is>
      </c>
      <c r="C59" t="inlineStr">
        <is>
          <t>Föryngringsavverkning</t>
        </is>
      </c>
      <c r="D59" s="1" t="n">
        <v>44445</v>
      </c>
      <c r="E59" s="1" t="n">
        <v>46256</v>
      </c>
      <c r="F59" t="inlineStr">
        <is>
          <t>NORRBOTTENS LÄN</t>
        </is>
      </c>
      <c r="G59" t="inlineStr">
        <is>
          <t>ARJEPLOG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20789-2022</t>
        </is>
      </c>
      <c r="B60" t="inlineStr">
        <is>
          <t>avverkningsanmälan</t>
        </is>
      </c>
      <c r="C60" t="inlineStr">
        <is>
          <t>Föryngringsavverkning</t>
        </is>
      </c>
      <c r="D60" s="1" t="n">
        <v>44701</v>
      </c>
      <c r="E60" s="1" t="n">
        <v>46256</v>
      </c>
      <c r="F60" t="inlineStr">
        <is>
          <t>NORRBOTTENS LÄN</t>
        </is>
      </c>
      <c r="G60" t="inlineStr">
        <is>
          <t>ARJEPLOG</t>
        </is>
      </c>
      <c r="I60" t="n">
        <v>20.3</v>
      </c>
      <c r="J60" t="n">
        <v>0</v>
      </c>
      <c r="K60" t="n">
        <v>0</v>
      </c>
      <c r="L60" t="n">
        <v>0</v>
      </c>
      <c r="M60" t="n">
        <v>0</v>
      </c>
      <c r="N60" t="n">
        <v>0</v>
      </c>
      <c r="O60" t="n">
        <v>0</v>
      </c>
      <c r="P60" t="n">
        <v>0</v>
      </c>
      <c r="Q60" t="n">
        <v>0</v>
      </c>
      <c r="R60" t="n">
        <v>0</v>
      </c>
      <c r="S60" t="n">
        <v>0</v>
      </c>
      <c r="T60" t="n">
        <v>0</v>
      </c>
      <c r="U60" t="n">
        <v>0</v>
      </c>
      <c r="V60" s="2" t="inlineStr"/>
    </row>
    <row r="61" ht="15" customHeight="1">
      <c r="A61" t="inlineStr">
        <is>
          <t>A 35627-2025</t>
        </is>
      </c>
      <c r="B61" t="inlineStr">
        <is>
          <t>avverkningsanmälan</t>
        </is>
      </c>
      <c r="C61" t="inlineStr">
        <is>
          <t>Föryngringsavverkning</t>
        </is>
      </c>
      <c r="D61" s="1" t="n">
        <v>45859</v>
      </c>
      <c r="E61" s="1" t="n">
        <v>46256</v>
      </c>
      <c r="F61" t="inlineStr">
        <is>
          <t>NORRBOTTENS LÄN</t>
        </is>
      </c>
      <c r="G61" t="inlineStr">
        <is>
          <t>ARJEPLOG</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42331-2025</t>
        </is>
      </c>
      <c r="B62" t="inlineStr">
        <is>
          <t>avverkningsanmälan</t>
        </is>
      </c>
      <c r="C62" t="inlineStr">
        <is>
          <t>Föryngringsavverkning</t>
        </is>
      </c>
      <c r="D62" s="1" t="n">
        <v>45903</v>
      </c>
      <c r="E62" s="1" t="n">
        <v>46256</v>
      </c>
      <c r="F62" t="inlineStr">
        <is>
          <t>NORRBOTTENS LÄN</t>
        </is>
      </c>
      <c r="G62" t="inlineStr">
        <is>
          <t>ARJEPLOG</t>
        </is>
      </c>
      <c r="I62" t="n">
        <v>10</v>
      </c>
      <c r="J62" t="n">
        <v>0</v>
      </c>
      <c r="K62" t="n">
        <v>0</v>
      </c>
      <c r="L62" t="n">
        <v>0</v>
      </c>
      <c r="M62" t="n">
        <v>0</v>
      </c>
      <c r="N62" t="n">
        <v>0</v>
      </c>
      <c r="O62" t="n">
        <v>0</v>
      </c>
      <c r="P62" t="n">
        <v>0</v>
      </c>
      <c r="Q62" t="n">
        <v>0</v>
      </c>
      <c r="R62" t="n">
        <v>0</v>
      </c>
      <c r="S62" t="n">
        <v>0</v>
      </c>
      <c r="T62" t="n">
        <v>0</v>
      </c>
      <c r="U62" t="n">
        <v>0</v>
      </c>
      <c r="V62" s="2" t="inlineStr"/>
    </row>
    <row r="63" ht="15" customHeight="1">
      <c r="A63" t="inlineStr">
        <is>
          <t>A 42597-2025</t>
        </is>
      </c>
      <c r="B63" t="inlineStr">
        <is>
          <t>avverkningsanmälan</t>
        </is>
      </c>
      <c r="C63" t="inlineStr">
        <is>
          <t>Föryngringsavverkning</t>
        </is>
      </c>
      <c r="D63" s="1" t="n">
        <v>45905</v>
      </c>
      <c r="E63" s="1" t="n">
        <v>46256</v>
      </c>
      <c r="F63" t="inlineStr">
        <is>
          <t>NORRBOTTENS LÄN</t>
        </is>
      </c>
      <c r="G63" t="inlineStr">
        <is>
          <t>ARJEPLOG</t>
        </is>
      </c>
      <c r="I63" t="n">
        <v>9.199999999999999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42526-2025</t>
        </is>
      </c>
      <c r="B64" t="inlineStr">
        <is>
          <t>avverkningsanmälan</t>
        </is>
      </c>
      <c r="C64" t="inlineStr">
        <is>
          <t>Föryngringsavverkning</t>
        </is>
      </c>
      <c r="D64" s="1" t="n">
        <v>45905</v>
      </c>
      <c r="E64" s="1" t="n">
        <v>46256</v>
      </c>
      <c r="F64" t="inlineStr">
        <is>
          <t>NORRBOTTENS LÄN</t>
        </is>
      </c>
      <c r="G64" t="inlineStr">
        <is>
          <t>ARJEPLOG</t>
        </is>
      </c>
      <c r="I64" t="n">
        <v>12.5</v>
      </c>
      <c r="J64" t="n">
        <v>0</v>
      </c>
      <c r="K64" t="n">
        <v>0</v>
      </c>
      <c r="L64" t="n">
        <v>0</v>
      </c>
      <c r="M64" t="n">
        <v>0</v>
      </c>
      <c r="N64" t="n">
        <v>0</v>
      </c>
      <c r="O64" t="n">
        <v>0</v>
      </c>
      <c r="P64" t="n">
        <v>0</v>
      </c>
      <c r="Q64" t="n">
        <v>0</v>
      </c>
      <c r="R64" t="n">
        <v>0</v>
      </c>
      <c r="S64" t="n">
        <v>0</v>
      </c>
      <c r="T64" t="n">
        <v>0</v>
      </c>
      <c r="U64" t="n">
        <v>0</v>
      </c>
      <c r="V64" s="2" t="inlineStr"/>
    </row>
    <row r="65" ht="15" customHeight="1">
      <c r="A65" t="inlineStr">
        <is>
          <t>A 25275-2023</t>
        </is>
      </c>
      <c r="B65" t="inlineStr">
        <is>
          <t>avverkningsanmälan</t>
        </is>
      </c>
      <c r="C65" t="inlineStr">
        <is>
          <t>Föryngringsavverkning</t>
        </is>
      </c>
      <c r="D65" s="1" t="n">
        <v>45079</v>
      </c>
      <c r="E65" s="1" t="n">
        <v>46256</v>
      </c>
      <c r="F65" t="inlineStr">
        <is>
          <t>NORRBOTTENS LÄN</t>
        </is>
      </c>
      <c r="G65" t="inlineStr">
        <is>
          <t>ARJEPLOG</t>
        </is>
      </c>
      <c r="H65" t="inlineStr">
        <is>
          <t>Övriga statliga verk och myndigheter</t>
        </is>
      </c>
      <c r="I65" t="n">
        <v>22.7</v>
      </c>
      <c r="J65" t="n">
        <v>0</v>
      </c>
      <c r="K65" t="n">
        <v>0</v>
      </c>
      <c r="L65" t="n">
        <v>0</v>
      </c>
      <c r="M65" t="n">
        <v>0</v>
      </c>
      <c r="N65" t="n">
        <v>0</v>
      </c>
      <c r="O65" t="n">
        <v>0</v>
      </c>
      <c r="P65" t="n">
        <v>0</v>
      </c>
      <c r="Q65" t="n">
        <v>0</v>
      </c>
      <c r="R65" t="n">
        <v>0</v>
      </c>
      <c r="S65" t="n">
        <v>0</v>
      </c>
      <c r="T65" t="n">
        <v>0</v>
      </c>
      <c r="U65" t="n">
        <v>0</v>
      </c>
      <c r="V65" s="2" t="inlineStr"/>
    </row>
    <row r="66" ht="15" customHeight="1">
      <c r="A66" t="inlineStr">
        <is>
          <t>A 31104-2025</t>
        </is>
      </c>
      <c r="B66" t="inlineStr">
        <is>
          <t>avverkningsanmälan</t>
        </is>
      </c>
      <c r="C66" t="inlineStr">
        <is>
          <t>Föryngringsavverkning</t>
        </is>
      </c>
      <c r="D66" s="1" t="n">
        <v>45832</v>
      </c>
      <c r="E66" s="1" t="n">
        <v>46256</v>
      </c>
      <c r="F66" t="inlineStr">
        <is>
          <t>NORRBOTTENS LÄN</t>
        </is>
      </c>
      <c r="G66" t="inlineStr">
        <is>
          <t>ARJEPLOG</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46910-2024</t>
        </is>
      </c>
      <c r="B67" t="inlineStr">
        <is>
          <t>avverkningsanmälan</t>
        </is>
      </c>
      <c r="C67" t="inlineStr">
        <is>
          <t>Föryngringsavverkning</t>
        </is>
      </c>
      <c r="D67" s="1" t="n">
        <v>45583</v>
      </c>
      <c r="E67" s="1" t="n">
        <v>46256</v>
      </c>
      <c r="F67" t="inlineStr">
        <is>
          <t>NORRBOTTENS LÄN</t>
        </is>
      </c>
      <c r="G67" t="inlineStr">
        <is>
          <t>ARJEPLOG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50255-2023</t>
        </is>
      </c>
      <c r="B68" t="inlineStr">
        <is>
          <t>avverkningsanmälan</t>
        </is>
      </c>
      <c r="C68" t="inlineStr">
        <is>
          <t>Föryngringsavverkning</t>
        </is>
      </c>
      <c r="D68" s="1" t="n">
        <v>45216</v>
      </c>
      <c r="E68" s="1" t="n">
        <v>46256</v>
      </c>
      <c r="F68" t="inlineStr">
        <is>
          <t>NORRBOTTENS LÄN</t>
        </is>
      </c>
      <c r="G68" t="inlineStr">
        <is>
          <t>ARJEPLOG</t>
        </is>
      </c>
      <c r="I68" t="n">
        <v>20</v>
      </c>
      <c r="J68" t="n">
        <v>0</v>
      </c>
      <c r="K68" t="n">
        <v>0</v>
      </c>
      <c r="L68" t="n">
        <v>0</v>
      </c>
      <c r="M68" t="n">
        <v>0</v>
      </c>
      <c r="N68" t="n">
        <v>0</v>
      </c>
      <c r="O68" t="n">
        <v>0</v>
      </c>
      <c r="P68" t="n">
        <v>0</v>
      </c>
      <c r="Q68" t="n">
        <v>0</v>
      </c>
      <c r="R68" t="n">
        <v>0</v>
      </c>
      <c r="S68" t="n">
        <v>0</v>
      </c>
      <c r="T68" t="n">
        <v>0</v>
      </c>
      <c r="U68" t="n">
        <v>0</v>
      </c>
      <c r="V68" s="2" t="inlineStr"/>
    </row>
    <row r="69" ht="15" customHeight="1">
      <c r="A69" t="inlineStr">
        <is>
          <t>A 55266-2024</t>
        </is>
      </c>
      <c r="B69" t="inlineStr">
        <is>
          <t>avverkningsanmälan</t>
        </is>
      </c>
      <c r="C69" t="inlineStr">
        <is>
          <t>Föryngringsavverkning</t>
        </is>
      </c>
      <c r="D69" s="1" t="n">
        <v>45621</v>
      </c>
      <c r="E69" s="1" t="n">
        <v>46256</v>
      </c>
      <c r="F69" t="inlineStr">
        <is>
          <t>NORRBOTTENS LÄN</t>
        </is>
      </c>
      <c r="G69" t="inlineStr">
        <is>
          <t>ARJEPLOG</t>
        </is>
      </c>
      <c r="I69" t="n">
        <v>11.3</v>
      </c>
      <c r="J69" t="n">
        <v>0</v>
      </c>
      <c r="K69" t="n">
        <v>0</v>
      </c>
      <c r="L69" t="n">
        <v>0</v>
      </c>
      <c r="M69" t="n">
        <v>0</v>
      </c>
      <c r="N69" t="n">
        <v>0</v>
      </c>
      <c r="O69" t="n">
        <v>0</v>
      </c>
      <c r="P69" t="n">
        <v>0</v>
      </c>
      <c r="Q69" t="n">
        <v>0</v>
      </c>
      <c r="R69" t="n">
        <v>0</v>
      </c>
      <c r="S69" t="n">
        <v>0</v>
      </c>
      <c r="T69" t="n">
        <v>0</v>
      </c>
      <c r="U69" t="n">
        <v>0</v>
      </c>
      <c r="V69" s="2" t="inlineStr"/>
    </row>
    <row r="70" ht="15" customHeight="1">
      <c r="A70" t="inlineStr">
        <is>
          <t>A 55124-2024</t>
        </is>
      </c>
      <c r="B70" t="inlineStr">
        <is>
          <t>avverkningsanmälan</t>
        </is>
      </c>
      <c r="C70" t="inlineStr">
        <is>
          <t>Föryngringsavverkning</t>
        </is>
      </c>
      <c r="D70" s="1" t="n">
        <v>45618</v>
      </c>
      <c r="E70" s="1" t="n">
        <v>46256</v>
      </c>
      <c r="F70" t="inlineStr">
        <is>
          <t>NORRBOTTENS LÄN</t>
        </is>
      </c>
      <c r="G70" t="inlineStr">
        <is>
          <t>ARJEPLOG</t>
        </is>
      </c>
      <c r="I70" t="n">
        <v>18.3</v>
      </c>
      <c r="J70" t="n">
        <v>0</v>
      </c>
      <c r="K70" t="n">
        <v>0</v>
      </c>
      <c r="L70" t="n">
        <v>0</v>
      </c>
      <c r="M70" t="n">
        <v>0</v>
      </c>
      <c r="N70" t="n">
        <v>0</v>
      </c>
      <c r="O70" t="n">
        <v>0</v>
      </c>
      <c r="P70" t="n">
        <v>0</v>
      </c>
      <c r="Q70" t="n">
        <v>0</v>
      </c>
      <c r="R70" t="n">
        <v>0</v>
      </c>
      <c r="S70" t="n">
        <v>0</v>
      </c>
      <c r="T70" t="n">
        <v>0</v>
      </c>
      <c r="U70" t="n">
        <v>0</v>
      </c>
      <c r="V70" s="2" t="inlineStr"/>
    </row>
    <row r="71" ht="15" customHeight="1">
      <c r="A71" t="inlineStr">
        <is>
          <t>A 55422-2021</t>
        </is>
      </c>
      <c r="B71" t="inlineStr">
        <is>
          <t>avverkningsanmälan</t>
        </is>
      </c>
      <c r="C71" t="inlineStr">
        <is>
          <t>Avverkning för annat ändamål</t>
        </is>
      </c>
      <c r="D71" s="1" t="n">
        <v>44475</v>
      </c>
      <c r="E71" s="1" t="n">
        <v>46256</v>
      </c>
      <c r="F71" t="inlineStr">
        <is>
          <t>NORRBOTTENS LÄN</t>
        </is>
      </c>
      <c r="G71" t="inlineStr">
        <is>
          <t>ARJEPLOG</t>
        </is>
      </c>
      <c r="H71" t="inlineStr">
        <is>
          <t>Sveaskog</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46747-2025</t>
        </is>
      </c>
      <c r="B72" t="inlineStr">
        <is>
          <t>avverkningsanmälan</t>
        </is>
      </c>
      <c r="C72" t="inlineStr">
        <is>
          <t>Föryngringsavverkning</t>
        </is>
      </c>
      <c r="D72" s="1" t="n">
        <v>45926</v>
      </c>
      <c r="E72" s="1" t="n">
        <v>46256</v>
      </c>
      <c r="F72" t="inlineStr">
        <is>
          <t>NORRBOTTENS LÄN</t>
        </is>
      </c>
      <c r="G72" t="inlineStr">
        <is>
          <t>ARJEPLOG</t>
        </is>
      </c>
      <c r="I72" t="n">
        <v>19.7</v>
      </c>
      <c r="J72" t="n">
        <v>0</v>
      </c>
      <c r="K72" t="n">
        <v>0</v>
      </c>
      <c r="L72" t="n">
        <v>0</v>
      </c>
      <c r="M72" t="n">
        <v>0</v>
      </c>
      <c r="N72" t="n">
        <v>0</v>
      </c>
      <c r="O72" t="n">
        <v>0</v>
      </c>
      <c r="P72" t="n">
        <v>0</v>
      </c>
      <c r="Q72" t="n">
        <v>0</v>
      </c>
      <c r="R72" t="n">
        <v>0</v>
      </c>
      <c r="S72" t="n">
        <v>0</v>
      </c>
      <c r="T72" t="n">
        <v>0</v>
      </c>
      <c r="U72" t="n">
        <v>0</v>
      </c>
      <c r="V72" s="2" t="inlineStr"/>
    </row>
    <row r="73" ht="15" customHeight="1">
      <c r="A73" t="inlineStr">
        <is>
          <t>A 64816-2023</t>
        </is>
      </c>
      <c r="B73" t="inlineStr">
        <is>
          <t>avverkningsanmälan</t>
        </is>
      </c>
      <c r="C73" t="inlineStr">
        <is>
          <t>Föryngringsavverkning</t>
        </is>
      </c>
      <c r="D73" s="1" t="n">
        <v>45281</v>
      </c>
      <c r="E73" s="1" t="n">
        <v>46256</v>
      </c>
      <c r="F73" t="inlineStr">
        <is>
          <t>NORRBOTTENS LÄN</t>
        </is>
      </c>
      <c r="G73" t="inlineStr">
        <is>
          <t>ARJEPLOG</t>
        </is>
      </c>
      <c r="I73" t="n">
        <v>13.4</v>
      </c>
      <c r="J73" t="n">
        <v>0</v>
      </c>
      <c r="K73" t="n">
        <v>0</v>
      </c>
      <c r="L73" t="n">
        <v>0</v>
      </c>
      <c r="M73" t="n">
        <v>0</v>
      </c>
      <c r="N73" t="n">
        <v>0</v>
      </c>
      <c r="O73" t="n">
        <v>0</v>
      </c>
      <c r="P73" t="n">
        <v>0</v>
      </c>
      <c r="Q73" t="n">
        <v>0</v>
      </c>
      <c r="R73" t="n">
        <v>0</v>
      </c>
      <c r="S73" t="n">
        <v>0</v>
      </c>
      <c r="T73" t="n">
        <v>0</v>
      </c>
      <c r="U73" t="n">
        <v>0</v>
      </c>
      <c r="V73" s="2" t="inlineStr"/>
    </row>
    <row r="74" ht="15" customHeight="1">
      <c r="A74" t="inlineStr">
        <is>
          <t>A 28354-2022</t>
        </is>
      </c>
      <c r="B74" t="inlineStr">
        <is>
          <t>avverkningsanmälan</t>
        </is>
      </c>
      <c r="C74" t="inlineStr">
        <is>
          <t>Avverkning för annat ändamål</t>
        </is>
      </c>
      <c r="D74" s="1" t="n">
        <v>44735</v>
      </c>
      <c r="E74" s="1" t="n">
        <v>46256</v>
      </c>
      <c r="F74" t="inlineStr">
        <is>
          <t>NORRBOTTENS LÄN</t>
        </is>
      </c>
      <c r="G74" t="inlineStr">
        <is>
          <t>ARJEPLOG</t>
        </is>
      </c>
      <c r="H74" t="inlineStr">
        <is>
          <t>Övriga statliga verk och myndigheter</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48987-2025</t>
        </is>
      </c>
      <c r="B75" t="inlineStr">
        <is>
          <t>avverkningsanmälan</t>
        </is>
      </c>
      <c r="C75" t="inlineStr">
        <is>
          <t>Avverkning för annat ändamål</t>
        </is>
      </c>
      <c r="D75" s="1" t="n">
        <v>45937</v>
      </c>
      <c r="E75" s="1" t="n">
        <v>46256</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45072-2023</t>
        </is>
      </c>
      <c r="B76" t="inlineStr">
        <is>
          <t>avverkningsanmälan</t>
        </is>
      </c>
      <c r="C76" t="inlineStr">
        <is>
          <t>Föryngringsavverkning</t>
        </is>
      </c>
      <c r="D76" s="1" t="n">
        <v>45187</v>
      </c>
      <c r="E76" s="1" t="n">
        <v>46256</v>
      </c>
      <c r="F76" t="inlineStr">
        <is>
          <t>NORRBOTTENS LÄN</t>
        </is>
      </c>
      <c r="G76" t="inlineStr">
        <is>
          <t>ARJEPLOG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25559-2022</t>
        </is>
      </c>
      <c r="B77" t="inlineStr">
        <is>
          <t>avverkningsanmälan</t>
        </is>
      </c>
      <c r="C77" t="inlineStr">
        <is>
          <t>Föryngringsavverkning</t>
        </is>
      </c>
      <c r="D77" s="1" t="n">
        <v>44732</v>
      </c>
      <c r="E77" s="1" t="n">
        <v>46256</v>
      </c>
      <c r="F77" t="inlineStr">
        <is>
          <t>NORRBOTTENS LÄN</t>
        </is>
      </c>
      <c r="G77" t="inlineStr">
        <is>
          <t>ARJEPLOG</t>
        </is>
      </c>
      <c r="H77" t="inlineStr">
        <is>
          <t>Övriga statliga verk och myndigheter</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58370-2023</t>
        </is>
      </c>
      <c r="B78" t="inlineStr">
        <is>
          <t>avverkningsanmälan</t>
        </is>
      </c>
      <c r="C78" t="inlineStr">
        <is>
          <t>Avverkning för att bevara och utveckla /försöksver</t>
        </is>
      </c>
      <c r="D78" s="1" t="n">
        <v>45250</v>
      </c>
      <c r="E78" s="1" t="n">
        <v>46256</v>
      </c>
      <c r="F78" t="inlineStr">
        <is>
          <t>NORRBOTTENS LÄN</t>
        </is>
      </c>
      <c r="G78" t="inlineStr">
        <is>
          <t>ARJEPLOG</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44218-2023</t>
        </is>
      </c>
      <c r="B79" t="inlineStr">
        <is>
          <t>avverkningsanmälan</t>
        </is>
      </c>
      <c r="C79" t="inlineStr">
        <is>
          <t>Avverkning för annat ändamål</t>
        </is>
      </c>
      <c r="D79" s="1" t="n">
        <v>45183</v>
      </c>
      <c r="E79" s="1" t="n">
        <v>46256</v>
      </c>
      <c r="F79" t="inlineStr">
        <is>
          <t>NORRBOTTENS LÄN</t>
        </is>
      </c>
      <c r="G79" t="inlineStr">
        <is>
          <t>ARJEPLOG</t>
        </is>
      </c>
      <c r="H79" t="inlineStr">
        <is>
          <t>Allmännings- och besparingsskogar</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34426-2025</t>
        </is>
      </c>
      <c r="B80" t="inlineStr">
        <is>
          <t>avverkningsanmälan</t>
        </is>
      </c>
      <c r="C80" t="inlineStr">
        <is>
          <t>Föryngringsavverkning</t>
        </is>
      </c>
      <c r="D80" s="1" t="n">
        <v>45845</v>
      </c>
      <c r="E80" s="1" t="n">
        <v>46256</v>
      </c>
      <c r="F80" t="inlineStr">
        <is>
          <t>NORRBOTTENS LÄN</t>
        </is>
      </c>
      <c r="G80" t="inlineStr">
        <is>
          <t>ARJEPLOG</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56754-2024</t>
        </is>
      </c>
      <c r="B81" t="inlineStr">
        <is>
          <t>avverkningsanmälan</t>
        </is>
      </c>
      <c r="C81" t="inlineStr">
        <is>
          <t>Föryngringsavverkning</t>
        </is>
      </c>
      <c r="D81" s="1" t="n">
        <v>45625</v>
      </c>
      <c r="E81" s="1" t="n">
        <v>46256</v>
      </c>
      <c r="F81" t="inlineStr">
        <is>
          <t>NORRBOTTENS LÄN</t>
        </is>
      </c>
      <c r="G81" t="inlineStr">
        <is>
          <t>ARJEPLOG</t>
        </is>
      </c>
      <c r="I81" t="n">
        <v>11.5</v>
      </c>
      <c r="J81" t="n">
        <v>0</v>
      </c>
      <c r="K81" t="n">
        <v>0</v>
      </c>
      <c r="L81" t="n">
        <v>0</v>
      </c>
      <c r="M81" t="n">
        <v>0</v>
      </c>
      <c r="N81" t="n">
        <v>0</v>
      </c>
      <c r="O81" t="n">
        <v>0</v>
      </c>
      <c r="P81" t="n">
        <v>0</v>
      </c>
      <c r="Q81" t="n">
        <v>0</v>
      </c>
      <c r="R81" t="n">
        <v>0</v>
      </c>
      <c r="S81" t="n">
        <v>0</v>
      </c>
      <c r="T81" t="n">
        <v>0</v>
      </c>
      <c r="U81" t="n">
        <v>0</v>
      </c>
      <c r="V81" s="2" t="inlineStr"/>
    </row>
    <row r="82" ht="15" customHeight="1">
      <c r="A82" t="inlineStr">
        <is>
          <t>A 3006-2024</t>
        </is>
      </c>
      <c r="B82" t="inlineStr">
        <is>
          <t>avverkningsanmälan</t>
        </is>
      </c>
      <c r="C82" t="inlineStr">
        <is>
          <t>Föryngringsavverkning</t>
        </is>
      </c>
      <c r="D82" s="1" t="n">
        <v>45315</v>
      </c>
      <c r="E82" s="1" t="n">
        <v>46256</v>
      </c>
      <c r="F82" t="inlineStr">
        <is>
          <t>NORRBOTTENS LÄN</t>
        </is>
      </c>
      <c r="G82" t="inlineStr">
        <is>
          <t>ARJEPLOG</t>
        </is>
      </c>
      <c r="I82" t="n">
        <v>9.1</v>
      </c>
      <c r="J82" t="n">
        <v>0</v>
      </c>
      <c r="K82" t="n">
        <v>0</v>
      </c>
      <c r="L82" t="n">
        <v>0</v>
      </c>
      <c r="M82" t="n">
        <v>0</v>
      </c>
      <c r="N82" t="n">
        <v>0</v>
      </c>
      <c r="O82" t="n">
        <v>0</v>
      </c>
      <c r="P82" t="n">
        <v>0</v>
      </c>
      <c r="Q82" t="n">
        <v>0</v>
      </c>
      <c r="R82" t="n">
        <v>0</v>
      </c>
      <c r="S82" t="n">
        <v>0</v>
      </c>
      <c r="T82" t="n">
        <v>0</v>
      </c>
      <c r="U82" t="n">
        <v>0</v>
      </c>
      <c r="V82" s="2" t="inlineStr"/>
    </row>
    <row r="83" ht="15" customHeight="1">
      <c r="A83" t="inlineStr">
        <is>
          <t>A 61729-2024</t>
        </is>
      </c>
      <c r="B83" t="inlineStr">
        <is>
          <t>avverkningsanmälan</t>
        </is>
      </c>
      <c r="C83" t="inlineStr">
        <is>
          <t>Avverkning för annat ändamål</t>
        </is>
      </c>
      <c r="D83" s="1" t="n">
        <v>45649</v>
      </c>
      <c r="E83" s="1" t="n">
        <v>46256</v>
      </c>
      <c r="F83" t="inlineStr">
        <is>
          <t>NORRBOTTENS LÄN</t>
        </is>
      </c>
      <c r="G83" t="inlineStr">
        <is>
          <t>ARJEPLOG</t>
        </is>
      </c>
      <c r="H83" t="inlineStr">
        <is>
          <t>Övriga statliga verk och myndigheter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17536-2023</t>
        </is>
      </c>
      <c r="B84" t="inlineStr">
        <is>
          <t>avverkningsanmälan</t>
        </is>
      </c>
      <c r="C84" t="inlineStr">
        <is>
          <t>Föryngringsavverkning</t>
        </is>
      </c>
      <c r="D84" s="1" t="n">
        <v>45034</v>
      </c>
      <c r="E84" s="1" t="n">
        <v>46256</v>
      </c>
      <c r="F84" t="inlineStr">
        <is>
          <t>NORRBOTTENS LÄN</t>
        </is>
      </c>
      <c r="G84" t="inlineStr">
        <is>
          <t>ARJEPLOG</t>
        </is>
      </c>
      <c r="H84" t="inlineStr">
        <is>
          <t>Övriga statliga verk och myndigheter</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526-2025</t>
        </is>
      </c>
      <c r="B85" t="inlineStr">
        <is>
          <t>avverkningsanmälan</t>
        </is>
      </c>
      <c r="C85" t="inlineStr">
        <is>
          <t>Avverkning för annat ändamål</t>
        </is>
      </c>
      <c r="D85" s="1" t="n">
        <v>45664</v>
      </c>
      <c r="E85" s="1" t="n">
        <v>46256</v>
      </c>
      <c r="F85" t="inlineStr">
        <is>
          <t>NORRBOTTENS LÄN</t>
        </is>
      </c>
      <c r="G85" t="inlineStr">
        <is>
          <t>ARJEPLOG</t>
        </is>
      </c>
      <c r="H85" t="inlineStr">
        <is>
          <t>Övriga statliga verk och myndigheter</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26811-2022</t>
        </is>
      </c>
      <c r="B86" t="inlineStr">
        <is>
          <t>avverkningsanmälan</t>
        </is>
      </c>
      <c r="C86" t="inlineStr">
        <is>
          <t>Avverkning för annat ändamål</t>
        </is>
      </c>
      <c r="D86" s="1" t="n">
        <v>44735</v>
      </c>
      <c r="E86" s="1" t="n">
        <v>46256</v>
      </c>
      <c r="F86" t="inlineStr">
        <is>
          <t>NORRBOTTENS LÄN</t>
        </is>
      </c>
      <c r="G86" t="inlineStr">
        <is>
          <t>ARJEPLOG</t>
        </is>
      </c>
      <c r="H86" t="inlineStr">
        <is>
          <t>Övriga statliga verk och myndigheter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46256</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60767-2025</t>
        </is>
      </c>
      <c r="B88" t="inlineStr">
        <is>
          <t>avverkningsanmälan</t>
        </is>
      </c>
      <c r="C88" t="inlineStr">
        <is>
          <t>Föryngringsavverkning</t>
        </is>
      </c>
      <c r="D88" s="1" t="n">
        <v>45999</v>
      </c>
      <c r="E88" s="1" t="n">
        <v>46256</v>
      </c>
      <c r="F88" t="inlineStr">
        <is>
          <t>NORRBOTTENS LÄN</t>
        </is>
      </c>
      <c r="G88" t="inlineStr">
        <is>
          <t>ARJEPLOG</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60766-2025</t>
        </is>
      </c>
      <c r="B89" t="inlineStr">
        <is>
          <t>avverkningsanmälan</t>
        </is>
      </c>
      <c r="C89" t="inlineStr">
        <is>
          <t>Föryngringsavverkning</t>
        </is>
      </c>
      <c r="D89" s="1" t="n">
        <v>45999</v>
      </c>
      <c r="E89" s="1" t="n">
        <v>46256</v>
      </c>
      <c r="F89" t="inlineStr">
        <is>
          <t>NORRBOTTENS LÄN</t>
        </is>
      </c>
      <c r="G89" t="inlineStr">
        <is>
          <t>ARJEPLOG</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23949-2024</t>
        </is>
      </c>
      <c r="B90" t="inlineStr">
        <is>
          <t>avverkningsanmälan</t>
        </is>
      </c>
      <c r="C90" t="inlineStr">
        <is>
          <t>Föryngringsavverkning</t>
        </is>
      </c>
      <c r="D90" s="1" t="n">
        <v>45455</v>
      </c>
      <c r="E90" s="1" t="n">
        <v>46256</v>
      </c>
      <c r="F90" t="inlineStr">
        <is>
          <t>NORRBOTTENS LÄN</t>
        </is>
      </c>
      <c r="G90" t="inlineStr">
        <is>
          <t>ARJEPLOG</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29662-2025</t>
        </is>
      </c>
      <c r="B91" t="inlineStr">
        <is>
          <t>avverkningsanmälan</t>
        </is>
      </c>
      <c r="C91" t="inlineStr">
        <is>
          <t>Föryngringsavverkning</t>
        </is>
      </c>
      <c r="D91" s="1" t="n">
        <v>45825</v>
      </c>
      <c r="E91" s="1" t="n">
        <v>46256</v>
      </c>
      <c r="F91" t="inlineStr">
        <is>
          <t>NORRBOTTENS LÄN</t>
        </is>
      </c>
      <c r="G91" t="inlineStr">
        <is>
          <t>ARJEPLOG</t>
        </is>
      </c>
      <c r="H91" t="inlineStr">
        <is>
          <t>Allmännings- och besparingsskogar</t>
        </is>
      </c>
      <c r="I91" t="n">
        <v>23.7</v>
      </c>
      <c r="J91" t="n">
        <v>0</v>
      </c>
      <c r="K91" t="n">
        <v>0</v>
      </c>
      <c r="L91" t="n">
        <v>0</v>
      </c>
      <c r="M91" t="n">
        <v>0</v>
      </c>
      <c r="N91" t="n">
        <v>0</v>
      </c>
      <c r="O91" t="n">
        <v>0</v>
      </c>
      <c r="P91" t="n">
        <v>0</v>
      </c>
      <c r="Q91" t="n">
        <v>0</v>
      </c>
      <c r="R91" t="n">
        <v>0</v>
      </c>
      <c r="S91" t="n">
        <v>0</v>
      </c>
      <c r="T91" t="n">
        <v>0</v>
      </c>
      <c r="U91" t="n">
        <v>0</v>
      </c>
      <c r="V91" s="2" t="inlineStr"/>
    </row>
    <row r="92" ht="15" customHeight="1">
      <c r="A92" t="inlineStr">
        <is>
          <t>A 52581-2022</t>
        </is>
      </c>
      <c r="B92" t="inlineStr">
        <is>
          <t>avverkningsanmälan</t>
        </is>
      </c>
      <c r="C92" t="inlineStr">
        <is>
          <t>Föryngringsavverkning</t>
        </is>
      </c>
      <c r="D92" s="1" t="n">
        <v>44874</v>
      </c>
      <c r="E92" s="1" t="n">
        <v>46256</v>
      </c>
      <c r="F92" t="inlineStr">
        <is>
          <t>NORRBOTTENS LÄN</t>
        </is>
      </c>
      <c r="G92" t="inlineStr">
        <is>
          <t>ARJEPLOG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25440-2024</t>
        </is>
      </c>
      <c r="B93" t="inlineStr">
        <is>
          <t>avverkningsanmälan</t>
        </is>
      </c>
      <c r="C93" t="inlineStr">
        <is>
          <t>Föryngringsavverkning</t>
        </is>
      </c>
      <c r="D93" s="1" t="n">
        <v>45463</v>
      </c>
      <c r="E93" s="1" t="n">
        <v>46256</v>
      </c>
      <c r="F93" t="inlineStr">
        <is>
          <t>NORRBOTTENS LÄN</t>
        </is>
      </c>
      <c r="G93" t="inlineStr">
        <is>
          <t>ARJEPLOG</t>
        </is>
      </c>
      <c r="H93" t="inlineStr">
        <is>
          <t>Allmännings- och besparingsskogar</t>
        </is>
      </c>
      <c r="I93" t="n">
        <v>30.7</v>
      </c>
      <c r="J93" t="n">
        <v>0</v>
      </c>
      <c r="K93" t="n">
        <v>0</v>
      </c>
      <c r="L93" t="n">
        <v>0</v>
      </c>
      <c r="M93" t="n">
        <v>0</v>
      </c>
      <c r="N93" t="n">
        <v>0</v>
      </c>
      <c r="O93" t="n">
        <v>0</v>
      </c>
      <c r="P93" t="n">
        <v>0</v>
      </c>
      <c r="Q93" t="n">
        <v>0</v>
      </c>
      <c r="R93" t="n">
        <v>0</v>
      </c>
      <c r="S93" t="n">
        <v>0</v>
      </c>
      <c r="T93" t="n">
        <v>0</v>
      </c>
      <c r="U93" t="n">
        <v>0</v>
      </c>
      <c r="V93" s="2" t="inlineStr"/>
    </row>
    <row r="94" ht="15" customHeight="1">
      <c r="A94" t="inlineStr">
        <is>
          <t>A 54589-2021</t>
        </is>
      </c>
      <c r="B94" t="inlineStr">
        <is>
          <t>avverkningsanmälan</t>
        </is>
      </c>
      <c r="C94" t="inlineStr">
        <is>
          <t>Föryngringsavverkning</t>
        </is>
      </c>
      <c r="D94" s="1" t="n">
        <v>44473</v>
      </c>
      <c r="E94" s="1" t="n">
        <v>46256</v>
      </c>
      <c r="F94" t="inlineStr">
        <is>
          <t>NORRBOTTENS LÄN</t>
        </is>
      </c>
      <c r="G94" t="inlineStr">
        <is>
          <t>ARJEPLOG</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12447-2025</t>
        </is>
      </c>
      <c r="B95" t="inlineStr">
        <is>
          <t>avverkningsanmälan</t>
        </is>
      </c>
      <c r="C95" t="inlineStr">
        <is>
          <t>Föryngringsavverkning</t>
        </is>
      </c>
      <c r="D95" s="1" t="n">
        <v>45730</v>
      </c>
      <c r="E95" s="1" t="n">
        <v>46256</v>
      </c>
      <c r="F95" t="inlineStr">
        <is>
          <t>NORRBOTTENS LÄN</t>
        </is>
      </c>
      <c r="G95" t="inlineStr">
        <is>
          <t>ARJEPLOG</t>
        </is>
      </c>
      <c r="I95" t="n">
        <v>7.9</v>
      </c>
      <c r="J95" t="n">
        <v>0</v>
      </c>
      <c r="K95" t="n">
        <v>0</v>
      </c>
      <c r="L95" t="n">
        <v>0</v>
      </c>
      <c r="M95" t="n">
        <v>0</v>
      </c>
      <c r="N95" t="n">
        <v>0</v>
      </c>
      <c r="O95" t="n">
        <v>0</v>
      </c>
      <c r="P95" t="n">
        <v>0</v>
      </c>
      <c r="Q95" t="n">
        <v>0</v>
      </c>
      <c r="R95" t="n">
        <v>0</v>
      </c>
      <c r="S95" t="n">
        <v>0</v>
      </c>
      <c r="T95" t="n">
        <v>0</v>
      </c>
      <c r="U95" t="n">
        <v>0</v>
      </c>
      <c r="V95" s="2" t="inlineStr"/>
    </row>
    <row r="96" ht="15" customHeight="1">
      <c r="A96" t="inlineStr">
        <is>
          <t>A 25239-2023</t>
        </is>
      </c>
      <c r="B96" t="inlineStr">
        <is>
          <t>avverkningsanmälan</t>
        </is>
      </c>
      <c r="C96" t="inlineStr">
        <is>
          <t>Föryngringsavverkning</t>
        </is>
      </c>
      <c r="D96" s="1" t="n">
        <v>45079</v>
      </c>
      <c r="E96" s="1" t="n">
        <v>46256</v>
      </c>
      <c r="F96" t="inlineStr">
        <is>
          <t>NORRBOTTENS LÄN</t>
        </is>
      </c>
      <c r="G96" t="inlineStr">
        <is>
          <t>ARJEPLOG</t>
        </is>
      </c>
      <c r="H96" t="inlineStr">
        <is>
          <t>Övriga statliga verk och myndigheter</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26103-2024</t>
        </is>
      </c>
      <c r="B97" t="inlineStr">
        <is>
          <t>avverkningsanmälan</t>
        </is>
      </c>
      <c r="C97" t="inlineStr">
        <is>
          <t>Föryngringsavverkning</t>
        </is>
      </c>
      <c r="D97" s="1" t="n">
        <v>45467</v>
      </c>
      <c r="E97" s="1" t="n">
        <v>46256</v>
      </c>
      <c r="F97" t="inlineStr">
        <is>
          <t>NORRBOTTENS LÄN</t>
        </is>
      </c>
      <c r="G97" t="inlineStr">
        <is>
          <t>ARJEPLOG</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64832-2023</t>
        </is>
      </c>
      <c r="B98" t="inlineStr">
        <is>
          <t>avverkningsanmälan</t>
        </is>
      </c>
      <c r="C98" t="inlineStr">
        <is>
          <t>Föryngringsavverkning</t>
        </is>
      </c>
      <c r="D98" s="1" t="n">
        <v>45281</v>
      </c>
      <c r="E98" s="1" t="n">
        <v>46256</v>
      </c>
      <c r="F98" t="inlineStr">
        <is>
          <t>NORRBOTTENS LÄN</t>
        </is>
      </c>
      <c r="G98" t="inlineStr">
        <is>
          <t>ARJEPLOG</t>
        </is>
      </c>
      <c r="I98" t="n">
        <v>43.6</v>
      </c>
      <c r="J98" t="n">
        <v>0</v>
      </c>
      <c r="K98" t="n">
        <v>0</v>
      </c>
      <c r="L98" t="n">
        <v>0</v>
      </c>
      <c r="M98" t="n">
        <v>0</v>
      </c>
      <c r="N98" t="n">
        <v>0</v>
      </c>
      <c r="O98" t="n">
        <v>0</v>
      </c>
      <c r="P98" t="n">
        <v>0</v>
      </c>
      <c r="Q98" t="n">
        <v>0</v>
      </c>
      <c r="R98" t="n">
        <v>0</v>
      </c>
      <c r="S98" t="n">
        <v>0</v>
      </c>
      <c r="T98" t="n">
        <v>0</v>
      </c>
      <c r="U98" t="n">
        <v>0</v>
      </c>
      <c r="V98" s="2" t="inlineStr"/>
    </row>
    <row r="99" ht="15" customHeight="1">
      <c r="A99" t="inlineStr">
        <is>
          <t>A 53822-2024</t>
        </is>
      </c>
      <c r="B99" t="inlineStr">
        <is>
          <t>avverkningsanmälan</t>
        </is>
      </c>
      <c r="C99" t="inlineStr">
        <is>
          <t>Föryngringsavverkning</t>
        </is>
      </c>
      <c r="D99" s="1" t="n">
        <v>45614</v>
      </c>
      <c r="E99" s="1" t="n">
        <v>46256</v>
      </c>
      <c r="F99" t="inlineStr">
        <is>
          <t>NORRBOTTENS LÄN</t>
        </is>
      </c>
      <c r="G99" t="inlineStr">
        <is>
          <t>ARJEPLOG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26479-2024</t>
        </is>
      </c>
      <c r="B100" t="inlineStr">
        <is>
          <t>avverkningsanmälan</t>
        </is>
      </c>
      <c r="C100" t="inlineStr">
        <is>
          <t>Föryngringsavverkning</t>
        </is>
      </c>
      <c r="D100" s="1" t="n">
        <v>45468</v>
      </c>
      <c r="E100" s="1" t="n">
        <v>46256</v>
      </c>
      <c r="F100" t="inlineStr">
        <is>
          <t>NORRBOTTENS LÄN</t>
        </is>
      </c>
      <c r="G100" t="inlineStr">
        <is>
          <t>ARJEPLOG</t>
        </is>
      </c>
      <c r="I100" t="n">
        <v>6.9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26048-2026</t>
        </is>
      </c>
      <c r="B101" t="inlineStr">
        <is>
          <t>avverkningsanmälan</t>
        </is>
      </c>
      <c r="C101" t="inlineStr">
        <is>
          <t>Föryngringsavverkning</t>
        </is>
      </c>
      <c r="D101" s="1" t="n">
        <v>46181</v>
      </c>
      <c r="E101" s="1" t="n">
        <v>46256</v>
      </c>
      <c r="F101" t="inlineStr">
        <is>
          <t>NORRBOTTENS LÄN</t>
        </is>
      </c>
      <c r="G101" t="inlineStr">
        <is>
          <t>ARJEPLOG</t>
        </is>
      </c>
      <c r="I101" t="n">
        <v>16.9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58989-2024</t>
        </is>
      </c>
      <c r="B102" t="inlineStr">
        <is>
          <t>avverkningsanmälan</t>
        </is>
      </c>
      <c r="C102" t="inlineStr">
        <is>
          <t>Avverkning för annat ändamål</t>
        </is>
      </c>
      <c r="D102" s="1" t="n">
        <v>45636</v>
      </c>
      <c r="E102" s="1" t="n">
        <v>46256</v>
      </c>
      <c r="F102" t="inlineStr">
        <is>
          <t>NORRBOTTENS LÄN</t>
        </is>
      </c>
      <c r="G102" t="inlineStr">
        <is>
          <t>ARJEPLOG</t>
        </is>
      </c>
      <c r="H102" t="inlineStr">
        <is>
          <t>Sveaskog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27102-2026</t>
        </is>
      </c>
      <c r="B103" t="inlineStr">
        <is>
          <t>avverkningsanmälan</t>
        </is>
      </c>
      <c r="C103" t="inlineStr">
        <is>
          <t>Avverkning för annat ändamål</t>
        </is>
      </c>
      <c r="D103" s="1" t="n">
        <v>46188</v>
      </c>
      <c r="E103" s="1" t="n">
        <v>46256</v>
      </c>
      <c r="F103" t="inlineStr">
        <is>
          <t>NORRBOTTENS LÄN</t>
        </is>
      </c>
      <c r="G103" t="inlineStr">
        <is>
          <t>ARJEPLOG</t>
        </is>
      </c>
      <c r="H103" t="inlineStr">
        <is>
          <t>Sveaskog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12409-2025</t>
        </is>
      </c>
      <c r="B104" t="inlineStr">
        <is>
          <t>avverkningsanmälan</t>
        </is>
      </c>
      <c r="C104" t="inlineStr">
        <is>
          <t>Föryngringsavverkning</t>
        </is>
      </c>
      <c r="D104" s="1" t="n">
        <v>45730</v>
      </c>
      <c r="E104" s="1" t="n">
        <v>46256</v>
      </c>
      <c r="F104" t="inlineStr">
        <is>
          <t>NORRBOTTENS LÄN</t>
        </is>
      </c>
      <c r="G104" t="inlineStr">
        <is>
          <t>ARJEPLOG</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26773-2022</t>
        </is>
      </c>
      <c r="B105" t="inlineStr">
        <is>
          <t>avverkningsanmälan</t>
        </is>
      </c>
      <c r="C105" t="inlineStr">
        <is>
          <t>Föryngringsavverkning</t>
        </is>
      </c>
      <c r="D105" s="1" t="n">
        <v>44732</v>
      </c>
      <c r="E105" s="1" t="n">
        <v>46256</v>
      </c>
      <c r="F105" t="inlineStr">
        <is>
          <t>NORRBOTTENS LÄN</t>
        </is>
      </c>
      <c r="G105" t="inlineStr">
        <is>
          <t>ARJEPLOG</t>
        </is>
      </c>
      <c r="H105" t="inlineStr">
        <is>
          <t>Övriga statliga verk och myndigheter</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25270-2023</t>
        </is>
      </c>
      <c r="B106" t="inlineStr">
        <is>
          <t>avverkningsanmälan</t>
        </is>
      </c>
      <c r="C106" t="inlineStr">
        <is>
          <t>Föryngringsavverkning</t>
        </is>
      </c>
      <c r="D106" s="1" t="n">
        <v>45079</v>
      </c>
      <c r="E106" s="1" t="n">
        <v>46256</v>
      </c>
      <c r="F106" t="inlineStr">
        <is>
          <t>NORRBOTTENS LÄN</t>
        </is>
      </c>
      <c r="G106" t="inlineStr">
        <is>
          <t>ARJEPLOG</t>
        </is>
      </c>
      <c r="H106" t="inlineStr">
        <is>
          <t>Övriga statliga verk och myndigheter</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28532-2026</t>
        </is>
      </c>
      <c r="B107" t="inlineStr">
        <is>
          <t>avverkningsanmälan</t>
        </is>
      </c>
      <c r="C107" t="inlineStr">
        <is>
          <t>Avverkning för annat ändamål</t>
        </is>
      </c>
      <c r="D107" s="1" t="n">
        <v>46197</v>
      </c>
      <c r="E107" s="1" t="n">
        <v>46256</v>
      </c>
      <c r="F107" t="inlineStr">
        <is>
          <t>NORRBOTTENS LÄN</t>
        </is>
      </c>
      <c r="G107" t="inlineStr">
        <is>
          <t>ARJEPLOG</t>
        </is>
      </c>
      <c r="H107" t="inlineStr">
        <is>
          <t>Allmännings- och besparingsskogar</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28551-2026</t>
        </is>
      </c>
      <c r="B108" t="inlineStr">
        <is>
          <t>avverkningsanmälan</t>
        </is>
      </c>
      <c r="C108" t="inlineStr">
        <is>
          <t>Föryngringsavverkning</t>
        </is>
      </c>
      <c r="D108" s="1" t="n">
        <v>46197</v>
      </c>
      <c r="E108" s="1" t="n">
        <v>46256</v>
      </c>
      <c r="F108" t="inlineStr">
        <is>
          <t>NORRBOTTENS LÄN</t>
        </is>
      </c>
      <c r="G108" t="inlineStr">
        <is>
          <t>ARJEPLOG</t>
        </is>
      </c>
      <c r="H108" t="inlineStr">
        <is>
          <t>Allmännings- och besparingsskogar</t>
        </is>
      </c>
      <c r="I108" t="n">
        <v>22.9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14861-2026</t>
        </is>
      </c>
      <c r="B109" t="inlineStr">
        <is>
          <t>avverkningsanmälan</t>
        </is>
      </c>
      <c r="C109" t="inlineStr">
        <is>
          <t>Föryngringsavverkning</t>
        </is>
      </c>
      <c r="D109" s="1" t="n">
        <v>46104</v>
      </c>
      <c r="E109" s="1" t="n">
        <v>46256</v>
      </c>
      <c r="F109" t="inlineStr">
        <is>
          <t>NORRBOTTENS LÄN</t>
        </is>
      </c>
      <c r="G109" t="inlineStr">
        <is>
          <t>ARJEPLOG</t>
        </is>
      </c>
      <c r="H109" t="inlineStr">
        <is>
          <t>Sveaskog</t>
        </is>
      </c>
      <c r="I109" t="n">
        <v>31.7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28787-2026</t>
        </is>
      </c>
      <c r="B110" t="inlineStr">
        <is>
          <t>avverkningsanmälan</t>
        </is>
      </c>
      <c r="C110" t="inlineStr">
        <is>
          <t>Föryngringsavverkning</t>
        </is>
      </c>
      <c r="D110" s="1" t="n">
        <v>46198</v>
      </c>
      <c r="E110" s="1" t="n">
        <v>46256</v>
      </c>
      <c r="F110" t="inlineStr">
        <is>
          <t>NORRBOTTENS LÄN</t>
        </is>
      </c>
      <c r="G110" t="inlineStr">
        <is>
          <t>ARJEPLOG</t>
        </is>
      </c>
      <c r="H110" t="inlineStr">
        <is>
          <t>Allmännings- och besparingsskogar</t>
        </is>
      </c>
      <c r="I110" t="n">
        <v>13.3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35194-2024</t>
        </is>
      </c>
      <c r="B111" t="inlineStr">
        <is>
          <t>avverkningsanmälan</t>
        </is>
      </c>
      <c r="C111" t="inlineStr">
        <is>
          <t>Föryngringsavverkning</t>
        </is>
      </c>
      <c r="D111" s="1" t="n">
        <v>45530</v>
      </c>
      <c r="E111" s="1" t="n">
        <v>46256</v>
      </c>
      <c r="F111" t="inlineStr">
        <is>
          <t>NORRBOTTENS LÄN</t>
        </is>
      </c>
      <c r="G111" t="inlineStr">
        <is>
          <t>ARJEPLOG</t>
        </is>
      </c>
      <c r="I111" t="n">
        <v>20.1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28799-2026</t>
        </is>
      </c>
      <c r="B112" t="inlineStr">
        <is>
          <t>avverkningsanmälan</t>
        </is>
      </c>
      <c r="C112" t="inlineStr">
        <is>
          <t>Föryngringsavverkning</t>
        </is>
      </c>
      <c r="D112" s="1" t="n">
        <v>46198</v>
      </c>
      <c r="E112" s="1" t="n">
        <v>46256</v>
      </c>
      <c r="F112" t="inlineStr">
        <is>
          <t>NORRBOTTENS LÄN</t>
        </is>
      </c>
      <c r="G112" t="inlineStr">
        <is>
          <t>ARJEPLOG</t>
        </is>
      </c>
      <c r="H112" t="inlineStr">
        <is>
          <t>Allmännings- och besparingsskogar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28804-2026</t>
        </is>
      </c>
      <c r="B113" t="inlineStr">
        <is>
          <t>avverkningsanmälan</t>
        </is>
      </c>
      <c r="C113" t="inlineStr">
        <is>
          <t>Föryngringsavverkning</t>
        </is>
      </c>
      <c r="D113" s="1" t="n">
        <v>46198</v>
      </c>
      <c r="E113" s="1" t="n">
        <v>46256</v>
      </c>
      <c r="F113" t="inlineStr">
        <is>
          <t>NORRBOTTENS LÄN</t>
        </is>
      </c>
      <c r="G113" t="inlineStr">
        <is>
          <t>ARJEPLOG</t>
        </is>
      </c>
      <c r="H113" t="inlineStr">
        <is>
          <t>Allmännings- och besparingsskogar</t>
        </is>
      </c>
      <c r="I113" t="n">
        <v>11.5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28679-2026</t>
        </is>
      </c>
      <c r="B114" t="inlineStr">
        <is>
          <t>avverkningsanmälan</t>
        </is>
      </c>
      <c r="C114" t="inlineStr">
        <is>
          <t>Föryngringsavverkning</t>
        </is>
      </c>
      <c r="D114" s="1" t="n">
        <v>46198</v>
      </c>
      <c r="E114" s="1" t="n">
        <v>46256</v>
      </c>
      <c r="F114" t="inlineStr">
        <is>
          <t>NORRBOTTENS LÄN</t>
        </is>
      </c>
      <c r="G114" t="inlineStr">
        <is>
          <t>ARJEPLOG</t>
        </is>
      </c>
      <c r="H114" t="inlineStr">
        <is>
          <t>Allmännings- och besparingsskogar</t>
        </is>
      </c>
      <c r="I114" t="n">
        <v>17.2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28560-2026</t>
        </is>
      </c>
      <c r="B115" t="inlineStr">
        <is>
          <t>avverkningsanmälan</t>
        </is>
      </c>
      <c r="C115" t="inlineStr">
        <is>
          <t>Föryngringsavverkning</t>
        </is>
      </c>
      <c r="D115" s="1" t="n">
        <v>46197</v>
      </c>
      <c r="E115" s="1" t="n">
        <v>46256</v>
      </c>
      <c r="F115" t="inlineStr">
        <is>
          <t>NORRBOTTENS LÄN</t>
        </is>
      </c>
      <c r="G115" t="inlineStr">
        <is>
          <t>ARJEPLOG</t>
        </is>
      </c>
      <c r="H115" t="inlineStr">
        <is>
          <t>Allmännings- och besparingsskogar</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36623-2023</t>
        </is>
      </c>
      <c r="B116" t="inlineStr">
        <is>
          <t>avverkningsanmälan</t>
        </is>
      </c>
      <c r="C116" t="inlineStr">
        <is>
          <t>Föryngringsavverkning</t>
        </is>
      </c>
      <c r="D116" s="1" t="n">
        <v>45153</v>
      </c>
      <c r="E116" s="1" t="n">
        <v>46256</v>
      </c>
      <c r="F116" t="inlineStr">
        <is>
          <t>NORRBOTTENS LÄN</t>
        </is>
      </c>
      <c r="G116" t="inlineStr">
        <is>
          <t>ARJEPLOG</t>
        </is>
      </c>
      <c r="H116" t="inlineStr">
        <is>
          <t>Sveaskog</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390-2026</t>
        </is>
      </c>
      <c r="B117" t="inlineStr">
        <is>
          <t>avverkningsanmälan</t>
        </is>
      </c>
      <c r="C117" t="inlineStr">
        <is>
          <t>Föryngringsavverkning</t>
        </is>
      </c>
      <c r="D117" s="1" t="n">
        <v>46028</v>
      </c>
      <c r="E117" s="1" t="n">
        <v>46256</v>
      </c>
      <c r="F117" t="inlineStr">
        <is>
          <t>NORRBOTTENS LÄN</t>
        </is>
      </c>
      <c r="G117" t="inlineStr">
        <is>
          <t>ARJEPLOG</t>
        </is>
      </c>
      <c r="I117" t="n">
        <v>19.5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20319-2026</t>
        </is>
      </c>
      <c r="B118" t="inlineStr">
        <is>
          <t>avverkningsanmälan</t>
        </is>
      </c>
      <c r="C118" t="inlineStr">
        <is>
          <t>Föryngringsavverkning</t>
        </is>
      </c>
      <c r="D118" s="1" t="n">
        <v>46139</v>
      </c>
      <c r="E118" s="1" t="n">
        <v>46256</v>
      </c>
      <c r="F118" t="inlineStr">
        <is>
          <t>NORRBOTTENS LÄN</t>
        </is>
      </c>
      <c r="G118" t="inlineStr">
        <is>
          <t>ARJEPLOG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20326-2026</t>
        </is>
      </c>
      <c r="B119" t="inlineStr">
        <is>
          <t>avverkningsanmälan</t>
        </is>
      </c>
      <c r="C119" t="inlineStr">
        <is>
          <t>Föryngringsavverkning</t>
        </is>
      </c>
      <c r="D119" s="1" t="n">
        <v>46139</v>
      </c>
      <c r="E119" s="1" t="n">
        <v>46256</v>
      </c>
      <c r="F119" t="inlineStr">
        <is>
          <t>NORRBOTTENS LÄN</t>
        </is>
      </c>
      <c r="G119" t="inlineStr">
        <is>
          <t>ARJEPLOG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64840-2023</t>
        </is>
      </c>
      <c r="B120" t="inlineStr">
        <is>
          <t>avverkningsanmälan</t>
        </is>
      </c>
      <c r="C120" t="inlineStr">
        <is>
          <t>Föryngringsavverkning</t>
        </is>
      </c>
      <c r="D120" s="1" t="n">
        <v>45281</v>
      </c>
      <c r="E120" s="1" t="n">
        <v>46256</v>
      </c>
      <c r="F120" t="inlineStr">
        <is>
          <t>NORRBOTTENS LÄN</t>
        </is>
      </c>
      <c r="G120" t="inlineStr">
        <is>
          <t>ARJEPLOG</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33993-2026</t>
        </is>
      </c>
      <c r="B121" t="inlineStr">
        <is>
          <t>avverkningsanmälan</t>
        </is>
      </c>
      <c r="C121" t="inlineStr">
        <is>
          <t>Avverkning för annat ändamål</t>
        </is>
      </c>
      <c r="D121" s="1" t="n">
        <v>46252</v>
      </c>
      <c r="E121" s="1" t="n">
        <v>46256</v>
      </c>
      <c r="F121" t="inlineStr">
        <is>
          <t>NORRBOTTENS LÄN</t>
        </is>
      </c>
      <c r="G121" t="inlineStr">
        <is>
          <t>ARJEPLOG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56785-2024</t>
        </is>
      </c>
      <c r="B122" t="inlineStr">
        <is>
          <t>avverkningsanmälan</t>
        </is>
      </c>
      <c r="C122" t="inlineStr">
        <is>
          <t>Föryngringsavverkning</t>
        </is>
      </c>
      <c r="D122" s="1" t="n">
        <v>45625</v>
      </c>
      <c r="E122" s="1" t="n">
        <v>46256</v>
      </c>
      <c r="F122" t="inlineStr">
        <is>
          <t>NORRBOTTENS LÄN</t>
        </is>
      </c>
      <c r="G122" t="inlineStr">
        <is>
          <t>ARJEPLOG</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27836-2026</t>
        </is>
      </c>
      <c r="B123" t="inlineStr">
        <is>
          <t>avverkningsanmälan</t>
        </is>
      </c>
      <c r="C123" t="inlineStr">
        <is>
          <t>Avverkning för annat ändamål</t>
        </is>
      </c>
      <c r="D123" s="1" t="n">
        <v>46189</v>
      </c>
      <c r="E123" s="1" t="n">
        <v>46256</v>
      </c>
      <c r="F123" t="inlineStr">
        <is>
          <t>NORRBOTTENS LÄN</t>
        </is>
      </c>
      <c r="G123" t="inlineStr">
        <is>
          <t>ARJEPLOG</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20322-2026</t>
        </is>
      </c>
      <c r="B124" t="inlineStr">
        <is>
          <t>avverkningsanmälan</t>
        </is>
      </c>
      <c r="C124" t="inlineStr">
        <is>
          <t>Föryngringsavverkning</t>
        </is>
      </c>
      <c r="D124" s="1" t="n">
        <v>46139</v>
      </c>
      <c r="E124" s="1" t="n">
        <v>46256</v>
      </c>
      <c r="F124" t="inlineStr">
        <is>
          <t>NORRBOTTENS LÄN</t>
        </is>
      </c>
      <c r="G124" t="inlineStr">
        <is>
          <t>ARJEPLOG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56800-2024</t>
        </is>
      </c>
      <c r="B125" t="inlineStr">
        <is>
          <t>avverkningsanmälan</t>
        </is>
      </c>
      <c r="C125" t="inlineStr">
        <is>
          <t>Föryngringsavverkning</t>
        </is>
      </c>
      <c r="D125" s="1" t="n">
        <v>45625</v>
      </c>
      <c r="E125" s="1" t="n">
        <v>46256</v>
      </c>
      <c r="F125" t="inlineStr">
        <is>
          <t>NORRBOTTENS LÄN</t>
        </is>
      </c>
      <c r="G125" t="inlineStr">
        <is>
          <t>ARJEPLOG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26486-2024</t>
        </is>
      </c>
      <c r="B126" t="inlineStr">
        <is>
          <t>avverkningsanmälan</t>
        </is>
      </c>
      <c r="C126" t="inlineStr">
        <is>
          <t>Föryngringsavverkning</t>
        </is>
      </c>
      <c r="D126" s="1" t="n">
        <v>45469</v>
      </c>
      <c r="E126" s="1" t="n">
        <v>46256</v>
      </c>
      <c r="F126" t="inlineStr">
        <is>
          <t>NORRBOTTENS LÄN</t>
        </is>
      </c>
      <c r="G126" t="inlineStr">
        <is>
          <t>ARJEPLOG</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26472-2024</t>
        </is>
      </c>
      <c r="B127" t="inlineStr">
        <is>
          <t>avverkningsanmälan</t>
        </is>
      </c>
      <c r="C127" t="inlineStr">
        <is>
          <t>Föryngringsavverkning</t>
        </is>
      </c>
      <c r="D127" s="1" t="n">
        <v>45469</v>
      </c>
      <c r="E127" s="1" t="n">
        <v>46256</v>
      </c>
      <c r="F127" t="inlineStr">
        <is>
          <t>NORRBOTTENS LÄN</t>
        </is>
      </c>
      <c r="G127" t="inlineStr">
        <is>
          <t>ARJEPLOG</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27092-2022</t>
        </is>
      </c>
      <c r="B128" t="inlineStr">
        <is>
          <t>avverkningsanmälan</t>
        </is>
      </c>
      <c r="C128" t="inlineStr">
        <is>
          <t>Föryngringsavverkning</t>
        </is>
      </c>
      <c r="D128" s="1" t="n">
        <v>44741</v>
      </c>
      <c r="E128" s="1" t="n">
        <v>46256</v>
      </c>
      <c r="F128" t="inlineStr">
        <is>
          <t>NORRBOTTENS LÄN</t>
        </is>
      </c>
      <c r="G128" t="inlineStr">
        <is>
          <t>ARJEPLOG</t>
        </is>
      </c>
      <c r="I128" t="n">
        <v>15.6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56794-2024</t>
        </is>
      </c>
      <c r="B129" t="inlineStr">
        <is>
          <t>avverkningsanmälan</t>
        </is>
      </c>
      <c r="C129" t="inlineStr">
        <is>
          <t>Föryngringsavverkning</t>
        </is>
      </c>
      <c r="D129" s="1" t="n">
        <v>45625</v>
      </c>
      <c r="E129" s="1" t="n">
        <v>46256</v>
      </c>
      <c r="F129" t="inlineStr">
        <is>
          <t>NORRBOTTENS LÄN</t>
        </is>
      </c>
      <c r="G129" t="inlineStr">
        <is>
          <t>ARJEPLOG</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56782-2024</t>
        </is>
      </c>
      <c r="B130" t="inlineStr">
        <is>
          <t>avverkningsanmälan</t>
        </is>
      </c>
      <c r="C130" t="inlineStr">
        <is>
          <t>Föryngringsavverkning</t>
        </is>
      </c>
      <c r="D130" s="1" t="n">
        <v>45625</v>
      </c>
      <c r="E130" s="1" t="n">
        <v>46256</v>
      </c>
      <c r="F130" t="inlineStr">
        <is>
          <t>NORRBOTTENS LÄN</t>
        </is>
      </c>
      <c r="G130" t="inlineStr">
        <is>
          <t>ARJEPLOG</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42274-2022</t>
        </is>
      </c>
      <c r="B131" t="inlineStr">
        <is>
          <t>avverkningsanmälan</t>
        </is>
      </c>
      <c r="C131" t="inlineStr">
        <is>
          <t>Föryngringsavverkning</t>
        </is>
      </c>
      <c r="D131" s="1" t="n">
        <v>44830</v>
      </c>
      <c r="E131" s="1" t="n">
        <v>46256</v>
      </c>
      <c r="F131" t="inlineStr">
        <is>
          <t>NORRBOTTENS LÄN</t>
        </is>
      </c>
      <c r="G131" t="inlineStr">
        <is>
          <t>ARJEPLOG</t>
        </is>
      </c>
      <c r="H131" t="inlineStr">
        <is>
          <t>SCA</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29674-2025</t>
        </is>
      </c>
      <c r="B132" t="inlineStr">
        <is>
          <t>avverkningsanmälan</t>
        </is>
      </c>
      <c r="C132" t="inlineStr">
        <is>
          <t>Föryngringsavverkning</t>
        </is>
      </c>
      <c r="D132" s="1" t="n">
        <v>45825</v>
      </c>
      <c r="E132" s="1" t="n">
        <v>46256</v>
      </c>
      <c r="F132" t="inlineStr">
        <is>
          <t>NORRBOTTENS LÄN</t>
        </is>
      </c>
      <c r="G132" t="inlineStr">
        <is>
          <t>ARJEPLOG</t>
        </is>
      </c>
      <c r="H132" t="inlineStr">
        <is>
          <t>Allmännings- och besparingsskogar</t>
        </is>
      </c>
      <c r="I132" t="n">
        <v>25.1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23330-2026</t>
        </is>
      </c>
      <c r="B133" t="inlineStr">
        <is>
          <t>avverkningsanmälan</t>
        </is>
      </c>
      <c r="C133" t="inlineStr">
        <is>
          <t>Föryngringsavverkning</t>
        </is>
      </c>
      <c r="D133" s="1" t="n">
        <v>46162</v>
      </c>
      <c r="E133" s="1" t="n">
        <v>46256</v>
      </c>
      <c r="F133" t="inlineStr">
        <is>
          <t>NORRBOTTENS LÄN</t>
        </is>
      </c>
      <c r="G133" t="inlineStr">
        <is>
          <t>ARJEPLOG</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56276-2021</t>
        </is>
      </c>
      <c r="B134" t="inlineStr">
        <is>
          <t>avverkningsanmälan</t>
        </is>
      </c>
      <c r="C134" t="inlineStr">
        <is>
          <t>Avverkning för annat ändamål</t>
        </is>
      </c>
      <c r="D134" s="1" t="n">
        <v>44479</v>
      </c>
      <c r="E134" s="1" t="n">
        <v>46256</v>
      </c>
      <c r="F134" t="inlineStr">
        <is>
          <t>NORRBOTTENS LÄN</t>
        </is>
      </c>
      <c r="G134" t="inlineStr">
        <is>
          <t>ARJEPLOG</t>
        </is>
      </c>
      <c r="I134" t="n">
        <v>19.8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23335-2026</t>
        </is>
      </c>
      <c r="B135" t="inlineStr">
        <is>
          <t>avverkningsanmälan</t>
        </is>
      </c>
      <c r="C135" t="inlineStr">
        <is>
          <t>Föryngringsavverkning</t>
        </is>
      </c>
      <c r="D135" s="1" t="n">
        <v>46162</v>
      </c>
      <c r="E135" s="1" t="n">
        <v>46256</v>
      </c>
      <c r="F135" t="inlineStr">
        <is>
          <t>NORRBOTTENS LÄN</t>
        </is>
      </c>
      <c r="G135" t="inlineStr">
        <is>
          <t>ARJEPLOG</t>
        </is>
      </c>
      <c r="I135" t="n">
        <v>7.7</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46256</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2026-08-22T01:46:45Z</dcterms:created>
  <dcterms:modified xmlns:dcterms="http://purl.org/dc/terms/" xmlns:xsi="http://www.w3.org/2001/XMLSchema-instance" xsi:type="dcterms:W3CDTF">2026-08-22T01:46:45Z</dcterms:modified>
</cp:coreProperties>
</file>