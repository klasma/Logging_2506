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45877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45877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45877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45877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34810-2021</t>
        </is>
      </c>
      <c r="B6" s="1" t="n">
        <v>44382</v>
      </c>
      <c r="C6" s="1" t="n">
        <v>45877</v>
      </c>
      <c r="D6" t="inlineStr">
        <is>
          <t>NORRBOTTENS LÄN</t>
        </is>
      </c>
      <c r="E6" t="inlineStr">
        <is>
          <t>ARJEPLOG</t>
        </is>
      </c>
      <c r="G6" t="n">
        <v>19.9</v>
      </c>
      <c r="H6" t="n">
        <v>1</v>
      </c>
      <c r="I6" t="n">
        <v>4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16</v>
      </c>
      <c r="R6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6">
        <f>HYPERLINK("https://klasma.github.io/Logging_2506/artfynd/A 34810-2021 artfynd.xlsx", "A 34810-2021")</f>
        <v/>
      </c>
      <c r="T6">
        <f>HYPERLINK("https://klasma.github.io/Logging_2506/kartor/A 34810-2021 karta.png", "A 34810-2021")</f>
        <v/>
      </c>
      <c r="V6">
        <f>HYPERLINK("https://klasma.github.io/Logging_2506/klagomål/A 34810-2021 FSC-klagomål.docx", "A 34810-2021")</f>
        <v/>
      </c>
      <c r="W6">
        <f>HYPERLINK("https://klasma.github.io/Logging_2506/klagomålsmail/A 34810-2021 FSC-klagomål mail.docx", "A 34810-2021")</f>
        <v/>
      </c>
      <c r="X6">
        <f>HYPERLINK("https://klasma.github.io/Logging_2506/tillsyn/A 34810-2021 tillsynsbegäran.docx", "A 34810-2021")</f>
        <v/>
      </c>
      <c r="Y6">
        <f>HYPERLINK("https://klasma.github.io/Logging_2506/tillsynsmail/A 34810-2021 tillsynsbegäran mail.docx", "A 34810-2021")</f>
        <v/>
      </c>
      <c r="Z6">
        <f>HYPERLINK("https://klasma.github.io/Logging_2506/fåglar/A 34810-2021 prioriterade fågelarter.docx", "A 34810-2021")</f>
        <v/>
      </c>
    </row>
    <row r="7" ht="15" customHeight="1">
      <c r="A7" t="inlineStr">
        <is>
          <t>A 12071-2023</t>
        </is>
      </c>
      <c r="B7" s="1" t="n">
        <v>44997</v>
      </c>
      <c r="C7" s="1" t="n">
        <v>45877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149.8</v>
      </c>
      <c r="H7" t="n">
        <v>4</v>
      </c>
      <c r="I7" t="n">
        <v>5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16</v>
      </c>
      <c r="R7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7">
        <f>HYPERLINK("https://klasma.github.io/Logging_2506/artfynd/A 12071-2023 artfynd.xlsx", "A 12071-2023")</f>
        <v/>
      </c>
      <c r="T7">
        <f>HYPERLINK("https://klasma.github.io/Logging_2506/kartor/A 12071-2023 karta.png", "A 12071-2023")</f>
        <v/>
      </c>
      <c r="V7">
        <f>HYPERLINK("https://klasma.github.io/Logging_2506/klagomål/A 12071-2023 FSC-klagomål.docx", "A 12071-2023")</f>
        <v/>
      </c>
      <c r="W7">
        <f>HYPERLINK("https://klasma.github.io/Logging_2506/klagomålsmail/A 12071-2023 FSC-klagomål mail.docx", "A 12071-2023")</f>
        <v/>
      </c>
      <c r="X7">
        <f>HYPERLINK("https://klasma.github.io/Logging_2506/tillsyn/A 12071-2023 tillsynsbegäran.docx", "A 12071-2023")</f>
        <v/>
      </c>
      <c r="Y7">
        <f>HYPERLINK("https://klasma.github.io/Logging_2506/tillsynsmail/A 12071-2023 tillsynsbegäran mail.docx", "A 12071-2023")</f>
        <v/>
      </c>
      <c r="Z7">
        <f>HYPERLINK("https://klasma.github.io/Logging_2506/fåglar/A 12071-2023 prioriterade fågelarter.docx", "A 12071-2023")</f>
        <v/>
      </c>
    </row>
    <row r="8" ht="15" customHeight="1">
      <c r="A8" t="inlineStr">
        <is>
          <t>A 64805-2023</t>
        </is>
      </c>
      <c r="B8" s="1" t="n">
        <v>45281</v>
      </c>
      <c r="C8" s="1" t="n">
        <v>45877</v>
      </c>
      <c r="D8" t="inlineStr">
        <is>
          <t>NORRBOTTENS LÄN</t>
        </is>
      </c>
      <c r="E8" t="inlineStr">
        <is>
          <t>ARJEPLOG</t>
        </is>
      </c>
      <c r="F8" t="inlineStr">
        <is>
          <t>Sveaskog</t>
        </is>
      </c>
      <c r="G8" t="n">
        <v>12.7</v>
      </c>
      <c r="H8" t="n">
        <v>1</v>
      </c>
      <c r="I8" t="n">
        <v>3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Ostticka
Rynkskinn
Gammelgransskål
Garnlav
Granticka
Gränsticka
Harticka
Knottrig blåslav
Rosenticka
Skrovellav
Tretåig hackspett
Ullticka
Blodticka
Luddlav
Vedticka</t>
        </is>
      </c>
      <c r="S8">
        <f>HYPERLINK("https://klasma.github.io/Logging_2506/artfynd/A 64805-2023 artfynd.xlsx", "A 64805-2023")</f>
        <v/>
      </c>
      <c r="T8">
        <f>HYPERLINK("https://klasma.github.io/Logging_2506/kartor/A 64805-2023 karta.png", "A 64805-2023")</f>
        <v/>
      </c>
      <c r="V8">
        <f>HYPERLINK("https://klasma.github.io/Logging_2506/klagomål/A 64805-2023 FSC-klagomål.docx", "A 64805-2023")</f>
        <v/>
      </c>
      <c r="W8">
        <f>HYPERLINK("https://klasma.github.io/Logging_2506/klagomålsmail/A 64805-2023 FSC-klagomål mail.docx", "A 64805-2023")</f>
        <v/>
      </c>
      <c r="X8">
        <f>HYPERLINK("https://klasma.github.io/Logging_2506/tillsyn/A 64805-2023 tillsynsbegäran.docx", "A 64805-2023")</f>
        <v/>
      </c>
      <c r="Y8">
        <f>HYPERLINK("https://klasma.github.io/Logging_2506/tillsynsmail/A 64805-2023 tillsynsbegäran mail.docx", "A 64805-2023")</f>
        <v/>
      </c>
      <c r="Z8">
        <f>HYPERLINK("https://klasma.github.io/Logging_2506/fåglar/A 64805-2023 prioriterade fågelarter.docx", "A 64805-2023")</f>
        <v/>
      </c>
    </row>
    <row r="9" ht="15" customHeight="1">
      <c r="A9" t="inlineStr">
        <is>
          <t>A 26852-2024</t>
        </is>
      </c>
      <c r="B9" s="1" t="n">
        <v>45470</v>
      </c>
      <c r="C9" s="1" t="n">
        <v>45877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17.9</v>
      </c>
      <c r="H9" t="n">
        <v>0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12</v>
      </c>
      <c r="R9" s="2" t="inlineStr">
        <is>
          <t>Fläckporing
Tajgaskinn
Blågrå svartspik
Dvärgbägarlav
Garnlav
Granticka
Gränsticka
Knottrig blåslav
Nordtagging
Ullticka
Vedflamlav
Vedticka</t>
        </is>
      </c>
      <c r="S9">
        <f>HYPERLINK("https://klasma.github.io/Logging_2506/artfynd/A 26852-2024 artfynd.xlsx", "A 26852-2024")</f>
        <v/>
      </c>
      <c r="T9">
        <f>HYPERLINK("https://klasma.github.io/Logging_2506/kartor/A 26852-2024 karta.png", "A 26852-2024")</f>
        <v/>
      </c>
      <c r="V9">
        <f>HYPERLINK("https://klasma.github.io/Logging_2506/klagomål/A 26852-2024 FSC-klagomål.docx", "A 26852-2024")</f>
        <v/>
      </c>
      <c r="W9">
        <f>HYPERLINK("https://klasma.github.io/Logging_2506/klagomålsmail/A 26852-2024 FSC-klagomål mail.docx", "A 26852-2024")</f>
        <v/>
      </c>
      <c r="X9">
        <f>HYPERLINK("https://klasma.github.io/Logging_2506/tillsyn/A 26852-2024 tillsynsbegäran.docx", "A 26852-2024")</f>
        <v/>
      </c>
      <c r="Y9">
        <f>HYPERLINK("https://klasma.github.io/Logging_2506/tillsynsmail/A 26852-2024 tillsynsbegäran mail.docx", "A 26852-2024")</f>
        <v/>
      </c>
    </row>
    <row r="10" ht="15" customHeight="1">
      <c r="A10" t="inlineStr">
        <is>
          <t>A 26954-2022</t>
        </is>
      </c>
      <c r="B10" s="1" t="n">
        <v>44740</v>
      </c>
      <c r="C10" s="1" t="n">
        <v>45877</v>
      </c>
      <c r="D10" t="inlineStr">
        <is>
          <t>NORRBOTTENS LÄN</t>
        </is>
      </c>
      <c r="E10" t="inlineStr">
        <is>
          <t>ARJEPLOG</t>
        </is>
      </c>
      <c r="F10" t="inlineStr">
        <is>
          <t>Allmännings- och besparingsskogar</t>
        </is>
      </c>
      <c r="G10" t="n">
        <v>10.4</v>
      </c>
      <c r="H10" t="n">
        <v>2</v>
      </c>
      <c r="I10" t="n">
        <v>0</v>
      </c>
      <c r="J10" t="n">
        <v>10</v>
      </c>
      <c r="K10" t="n">
        <v>0</v>
      </c>
      <c r="L10" t="n">
        <v>0</v>
      </c>
      <c r="M10" t="n">
        <v>0</v>
      </c>
      <c r="N10" t="n">
        <v>0</v>
      </c>
      <c r="O10" t="n">
        <v>10</v>
      </c>
      <c r="P10" t="n">
        <v>0</v>
      </c>
      <c r="Q10" t="n">
        <v>11</v>
      </c>
      <c r="R10" s="2" t="inlineStr">
        <is>
          <t>Blanksvart spiklav
Blå taggsvamp
Granticka
Gropig brunbagge
Ladlav
Nordtagging
Orange taggsvamp
Tretåig hackspett
Vedflamlav
Vedskivlav
Vanlig padda</t>
        </is>
      </c>
      <c r="S10">
        <f>HYPERLINK("https://klasma.github.io/Logging_2506/artfynd/A 26954-2022 artfynd.xlsx", "A 26954-2022")</f>
        <v/>
      </c>
      <c r="T10">
        <f>HYPERLINK("https://klasma.github.io/Logging_2506/kartor/A 26954-2022 karta.png", "A 26954-2022")</f>
        <v/>
      </c>
      <c r="V10">
        <f>HYPERLINK("https://klasma.github.io/Logging_2506/klagomål/A 26954-2022 FSC-klagomål.docx", "A 26954-2022")</f>
        <v/>
      </c>
      <c r="W10">
        <f>HYPERLINK("https://klasma.github.io/Logging_2506/klagomålsmail/A 26954-2022 FSC-klagomål mail.docx", "A 26954-2022")</f>
        <v/>
      </c>
      <c r="X10">
        <f>HYPERLINK("https://klasma.github.io/Logging_2506/tillsyn/A 26954-2022 tillsynsbegäran.docx", "A 26954-2022")</f>
        <v/>
      </c>
      <c r="Y10">
        <f>HYPERLINK("https://klasma.github.io/Logging_2506/tillsynsmail/A 26954-2022 tillsynsbegäran mail.docx", "A 26954-2022")</f>
        <v/>
      </c>
      <c r="Z10">
        <f>HYPERLINK("https://klasma.github.io/Logging_2506/fåglar/A 26954-2022 prioriterade fågelarter.docx", "A 26954-2022")</f>
        <v/>
      </c>
    </row>
    <row r="11" ht="15" customHeight="1">
      <c r="A11" t="inlineStr">
        <is>
          <t>A 31143-2025</t>
        </is>
      </c>
      <c r="B11" s="1" t="n">
        <v>45831</v>
      </c>
      <c r="C11" s="1" t="n">
        <v>45877</v>
      </c>
      <c r="D11" t="inlineStr">
        <is>
          <t>NORRBOTTENS LÄN</t>
        </is>
      </c>
      <c r="E11" t="inlineStr">
        <is>
          <t>ARJEPLOG</t>
        </is>
      </c>
      <c r="G11" t="n">
        <v>16.4</v>
      </c>
      <c r="H11" t="n">
        <v>2</v>
      </c>
      <c r="I11" t="n">
        <v>0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n">
        <v>10</v>
      </c>
      <c r="P11" t="n">
        <v>1</v>
      </c>
      <c r="Q11" t="n">
        <v>10</v>
      </c>
      <c r="R11" s="2" t="inlineStr">
        <is>
          <t>Fläckporing
Garnlav
Granticka
Gränsticka
Knottrig blåslav
Rosenticka
Talltita
Tretåig hackspett
Vedskivlav
Vitgrynig nållav</t>
        </is>
      </c>
      <c r="S11">
        <f>HYPERLINK("https://klasma.github.io/Logging_252506/artfynd/A 31143-2025 artfynd.xlsx", "A 31143-2025")</f>
        <v/>
      </c>
      <c r="T11">
        <f>HYPERLINK("https://klasma.github.io/Logging_252506/kartor/A 31143-2025 karta.png", "A 31143-2025")</f>
        <v/>
      </c>
      <c r="V11">
        <f>HYPERLINK("https://klasma.github.io/Logging_252506/klagomål/A 31143-2025 FSC-klagomål.docx", "A 31143-2025")</f>
        <v/>
      </c>
      <c r="W11">
        <f>HYPERLINK("https://klasma.github.io/Logging_252506/klagomålsmail/A 31143-2025 FSC-klagomål mail.docx", "A 31143-2025")</f>
        <v/>
      </c>
      <c r="X11">
        <f>HYPERLINK("https://klasma.github.io/Logging_252506/tillsyn/A 31143-2025 tillsynsbegäran.docx", "A 31143-2025")</f>
        <v/>
      </c>
      <c r="Y11">
        <f>HYPERLINK("https://klasma.github.io/Logging_252506/tillsynsmail/A 31143-2025 tillsynsbegäran mail.docx", "A 31143-2025")</f>
        <v/>
      </c>
      <c r="Z11">
        <f>HYPERLINK("https://klasma.github.io/Logging_252506/fåglar/A 31143-2025 prioriterade fågelarter.docx", "A 31143-2025")</f>
        <v/>
      </c>
    </row>
    <row r="12" ht="15" customHeight="1">
      <c r="A12" t="inlineStr">
        <is>
          <t>A 62068-2019</t>
        </is>
      </c>
      <c r="B12" s="1" t="n">
        <v>43787</v>
      </c>
      <c r="C12" s="1" t="n">
        <v>45877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35</v>
      </c>
      <c r="H12" t="n">
        <v>1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Ostticka
Garnlav
Granticka
Gränsticka
Harticka
Rosenticka
Tretåig hackspett
Tibast</t>
        </is>
      </c>
      <c r="S12">
        <f>HYPERLINK("https://klasma.github.io/Logging_2506/artfynd/A 62068-2019 artfynd.xlsx", "A 62068-2019")</f>
        <v/>
      </c>
      <c r="T12">
        <f>HYPERLINK("https://klasma.github.io/Logging_2506/kartor/A 62068-2019 karta.png", "A 62068-2019")</f>
        <v/>
      </c>
      <c r="V12">
        <f>HYPERLINK("https://klasma.github.io/Logging_2506/klagomål/A 62068-2019 FSC-klagomål.docx", "A 62068-2019")</f>
        <v/>
      </c>
      <c r="W12">
        <f>HYPERLINK("https://klasma.github.io/Logging_2506/klagomålsmail/A 62068-2019 FSC-klagomål mail.docx", "A 62068-2019")</f>
        <v/>
      </c>
      <c r="X12">
        <f>HYPERLINK("https://klasma.github.io/Logging_2506/tillsyn/A 62068-2019 tillsynsbegäran.docx", "A 62068-2019")</f>
        <v/>
      </c>
      <c r="Y12">
        <f>HYPERLINK("https://klasma.github.io/Logging_2506/tillsynsmail/A 62068-2019 tillsynsbegäran mail.docx", "A 62068-2019")</f>
        <v/>
      </c>
      <c r="Z12">
        <f>HYPERLINK("https://klasma.github.io/Logging_2506/fåglar/A 62068-2019 prioriterade fågelarter.docx", "A 62068-2019")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45877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15688-2024</t>
        </is>
      </c>
      <c r="B14" s="1" t="n">
        <v>45404</v>
      </c>
      <c r="C14" s="1" t="n">
        <v>45877</v>
      </c>
      <c r="D14" t="inlineStr">
        <is>
          <t>NORRBOTTENS LÄN</t>
        </is>
      </c>
      <c r="E14" t="inlineStr">
        <is>
          <t>ARJEPLOG</t>
        </is>
      </c>
      <c r="G14" t="n">
        <v>4.1</v>
      </c>
      <c r="H14" t="n">
        <v>0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Gräddporing
Blågrå svartspik
Knottrig blåslav
Skrovellav
Stjärntagging
Bårdlav
Luddlav
Stuplav</t>
        </is>
      </c>
      <c r="S14">
        <f>HYPERLINK("https://klasma.github.io/Logging_2506/artfynd/A 15688-2024 artfynd.xlsx", "A 15688-2024")</f>
        <v/>
      </c>
      <c r="T14">
        <f>HYPERLINK("https://klasma.github.io/Logging_2506/kartor/A 15688-2024 karta.png", "A 15688-2024")</f>
        <v/>
      </c>
      <c r="V14">
        <f>HYPERLINK("https://klasma.github.io/Logging_2506/klagomål/A 15688-2024 FSC-klagomål.docx", "A 15688-2024")</f>
        <v/>
      </c>
      <c r="W14">
        <f>HYPERLINK("https://klasma.github.io/Logging_2506/klagomålsmail/A 15688-2024 FSC-klagomål mail.docx", "A 15688-2024")</f>
        <v/>
      </c>
      <c r="X14">
        <f>HYPERLINK("https://klasma.github.io/Logging_2506/tillsyn/A 15688-2024 tillsynsbegäran.docx", "A 15688-2024")</f>
        <v/>
      </c>
      <c r="Y14">
        <f>HYPERLINK("https://klasma.github.io/Logging_2506/tillsynsmail/A 15688-2024 tillsynsbegäran mail.docx", "A 15688-2024")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45877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45877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45877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45877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34430-2025</t>
        </is>
      </c>
      <c r="B19" s="1" t="n">
        <v>45845</v>
      </c>
      <c r="C19" s="1" t="n">
        <v>45877</v>
      </c>
      <c r="D19" t="inlineStr">
        <is>
          <t>NORRBOTTENS LÄN</t>
        </is>
      </c>
      <c r="E19" t="inlineStr">
        <is>
          <t>ARJEPLOG</t>
        </is>
      </c>
      <c r="G19" t="n">
        <v>39.6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Fläckporing
Blanksvart spiklav
Dvärgbägarlav
Vedskivlav
Plattlummer</t>
        </is>
      </c>
      <c r="S19">
        <f>HYPERLINK("https://klasma.github.io/Logging_252506/artfynd/A 34430-2025 artfynd.xlsx", "A 34430-2025")</f>
        <v/>
      </c>
      <c r="T19">
        <f>HYPERLINK("https://klasma.github.io/Logging_252506/kartor/A 34430-2025 karta.png", "A 34430-2025")</f>
        <v/>
      </c>
      <c r="V19">
        <f>HYPERLINK("https://klasma.github.io/Logging_252506/klagomål/A 34430-2025 FSC-klagomål.docx", "A 34430-2025")</f>
        <v/>
      </c>
      <c r="W19">
        <f>HYPERLINK("https://klasma.github.io/Logging_252506/klagomålsmail/A 34430-2025 FSC-klagomål mail.docx", "A 34430-2025")</f>
        <v/>
      </c>
      <c r="X19">
        <f>HYPERLINK("https://klasma.github.io/Logging_252506/tillsyn/A 34430-2025 tillsynsbegäran.docx", "A 34430-2025")</f>
        <v/>
      </c>
      <c r="Y19">
        <f>HYPERLINK("https://klasma.github.io/Logging_252506/tillsynsmail/A 34430-2025 tillsynsbegäran mail.docx", "A 34430-2025")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45877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45877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45877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45877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26143-2024</t>
        </is>
      </c>
      <c r="B24" s="1" t="n">
        <v>45467</v>
      </c>
      <c r="C24" s="1" t="n">
        <v>45877</v>
      </c>
      <c r="D24" t="inlineStr">
        <is>
          <t>NORRBOTTENS LÄN</t>
        </is>
      </c>
      <c r="E24" t="inlineStr">
        <is>
          <t>ARJEPLOG</t>
        </is>
      </c>
      <c r="G24" t="n">
        <v>8.1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Blanksvart spiklav
Knottrig blåslav
Vedticka</t>
        </is>
      </c>
      <c r="S24">
        <f>HYPERLINK("https://klasma.github.io/Logging_2506/artfynd/A 26143-2024 artfynd.xlsx", "A 26143-2024")</f>
        <v/>
      </c>
      <c r="T24">
        <f>HYPERLINK("https://klasma.github.io/Logging_2506/kartor/A 26143-2024 karta.png", "A 26143-2024")</f>
        <v/>
      </c>
      <c r="V24">
        <f>HYPERLINK("https://klasma.github.io/Logging_2506/klagomål/A 26143-2024 FSC-klagomål.docx", "A 26143-2024")</f>
        <v/>
      </c>
      <c r="W24">
        <f>HYPERLINK("https://klasma.github.io/Logging_2506/klagomålsmail/A 26143-2024 FSC-klagomål mail.docx", "A 26143-2024")</f>
        <v/>
      </c>
      <c r="X24">
        <f>HYPERLINK("https://klasma.github.io/Logging_2506/tillsyn/A 26143-2024 tillsynsbegäran.docx", "A 26143-2024")</f>
        <v/>
      </c>
      <c r="Y24">
        <f>HYPERLINK("https://klasma.github.io/Logging_2506/tillsynsmail/A 26143-2024 tillsynsbegäran mail.docx", "A 26143-2024")</f>
        <v/>
      </c>
    </row>
    <row r="25" ht="15" customHeight="1">
      <c r="A25" t="inlineStr">
        <is>
          <t>A 45095-2019</t>
        </is>
      </c>
      <c r="B25" s="1" t="n">
        <v>43707</v>
      </c>
      <c r="C25" s="1" t="n">
        <v>45877</v>
      </c>
      <c r="D25" t="inlineStr">
        <is>
          <t>NORRBOTTENS LÄN</t>
        </is>
      </c>
      <c r="E25" t="inlineStr">
        <is>
          <t>ARJEPLOG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Revlummer</t>
        </is>
      </c>
      <c r="S25">
        <f>HYPERLINK("https://klasma.github.io/Logging_2506/artfynd/A 45095-2019 artfynd.xlsx", "A 45095-2019")</f>
        <v/>
      </c>
      <c r="T25">
        <f>HYPERLINK("https://klasma.github.io/Logging_2506/kartor/A 45095-2019 karta.png", "A 45095-2019")</f>
        <v/>
      </c>
      <c r="V25">
        <f>HYPERLINK("https://klasma.github.io/Logging_2506/klagomål/A 45095-2019 FSC-klagomål.docx", "A 45095-2019")</f>
        <v/>
      </c>
      <c r="W25">
        <f>HYPERLINK("https://klasma.github.io/Logging_2506/klagomålsmail/A 45095-2019 FSC-klagomål mail.docx", "A 45095-2019")</f>
        <v/>
      </c>
      <c r="X25">
        <f>HYPERLINK("https://klasma.github.io/Logging_2506/tillsyn/A 45095-2019 tillsynsbegäran.docx", "A 45095-2019")</f>
        <v/>
      </c>
      <c r="Y25">
        <f>HYPERLINK("https://klasma.github.io/Logging_2506/tillsynsmail/A 45095-2019 tillsynsbegäran mail.docx", "A 45095-2019")</f>
        <v/>
      </c>
    </row>
    <row r="26" ht="15" customHeight="1">
      <c r="A26" t="inlineStr">
        <is>
          <t>A 14684-2021</t>
        </is>
      </c>
      <c r="B26" s="1" t="n">
        <v>44280</v>
      </c>
      <c r="C26" s="1" t="n">
        <v>45877</v>
      </c>
      <c r="D26" t="inlineStr">
        <is>
          <t>NORRBOTTENS LÄN</t>
        </is>
      </c>
      <c r="E26" t="inlineStr">
        <is>
          <t>ARJEPLOG</t>
        </is>
      </c>
      <c r="G26" t="n">
        <v>26.6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Tretåig hackspett
Ullticka</t>
        </is>
      </c>
      <c r="S26">
        <f>HYPERLINK("https://klasma.github.io/Logging_2506/artfynd/A 14684-2021 artfynd.xlsx", "A 14684-2021")</f>
        <v/>
      </c>
      <c r="T26">
        <f>HYPERLINK("https://klasma.github.io/Logging_2506/kartor/A 14684-2021 karta.png", "A 14684-2021")</f>
        <v/>
      </c>
      <c r="V26">
        <f>HYPERLINK("https://klasma.github.io/Logging_2506/klagomål/A 14684-2021 FSC-klagomål.docx", "A 14684-2021")</f>
        <v/>
      </c>
      <c r="W26">
        <f>HYPERLINK("https://klasma.github.io/Logging_2506/klagomålsmail/A 14684-2021 FSC-klagomål mail.docx", "A 14684-2021")</f>
        <v/>
      </c>
      <c r="X26">
        <f>HYPERLINK("https://klasma.github.io/Logging_2506/tillsyn/A 14684-2021 tillsynsbegäran.docx", "A 14684-2021")</f>
        <v/>
      </c>
      <c r="Y26">
        <f>HYPERLINK("https://klasma.github.io/Logging_2506/tillsynsmail/A 14684-2021 tillsynsbegäran mail.docx", "A 14684-2021")</f>
        <v/>
      </c>
      <c r="Z26">
        <f>HYPERLINK("https://klasma.github.io/Logging_2506/fåglar/A 14684-2021 prioriterade fågelarter.docx", "A 14684-2021")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45877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45877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45877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45877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45877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45877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45877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45877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2559-2025</t>
        </is>
      </c>
      <c r="B35" s="1" t="n">
        <v>45673</v>
      </c>
      <c r="C35" s="1" t="n">
        <v>45877</v>
      </c>
      <c r="D35" t="inlineStr">
        <is>
          <t>NORRBOTTENS LÄN</t>
        </is>
      </c>
      <c r="E35" t="inlineStr">
        <is>
          <t>ARJEPLOG</t>
        </is>
      </c>
      <c r="G35" t="n">
        <v>12.4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Gräddporing</t>
        </is>
      </c>
      <c r="S35">
        <f>HYPERLINK("https://klasma.github.io/Logging_2506/artfynd/A 2559-2025 artfynd.xlsx", "A 2559-2025")</f>
        <v/>
      </c>
      <c r="T35">
        <f>HYPERLINK("https://klasma.github.io/Logging_2506/kartor/A 2559-2025 karta.png", "A 2559-2025")</f>
        <v/>
      </c>
      <c r="V35">
        <f>HYPERLINK("https://klasma.github.io/Logging_2506/klagomål/A 2559-2025 FSC-klagomål.docx", "A 2559-2025")</f>
        <v/>
      </c>
      <c r="W35">
        <f>HYPERLINK("https://klasma.github.io/Logging_2506/klagomålsmail/A 2559-2025 FSC-klagomål mail.docx", "A 2559-2025")</f>
        <v/>
      </c>
      <c r="X35">
        <f>HYPERLINK("https://klasma.github.io/Logging_2506/tillsyn/A 2559-2025 tillsynsbegäran.docx", "A 2559-2025")</f>
        <v/>
      </c>
      <c r="Y35">
        <f>HYPERLINK("https://klasma.github.io/Logging_2506/tillsynsmail/A 2559-2025 tillsynsbegäran mail.docx", "A 2559-2025")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45877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HYPERLINK("https://klasma.github.io/Logging_252506/artfynd/A 12403-2025 artfynd.xlsx", "A 12403-2025")</f>
        <v/>
      </c>
      <c r="T36">
        <f>HYPERLINK("https://klasma.github.io/Logging_252506/kartor/A 12403-2025 karta.png", "A 12403-2025")</f>
        <v/>
      </c>
      <c r="V36">
        <f>HYPERLINK("https://klasma.github.io/Logging_252506/klagomål/A 12403-2025 FSC-klagomål.docx", "A 12403-2025")</f>
        <v/>
      </c>
      <c r="W36">
        <f>HYPERLINK("https://klasma.github.io/Logging_252506/klagomålsmail/A 12403-2025 FSC-klagomål mail.docx", "A 12403-2025")</f>
        <v/>
      </c>
      <c r="X36">
        <f>HYPERLINK("https://klasma.github.io/Logging_252506/tillsyn/A 12403-2025 tillsynsbegäran.docx", "A 12403-2025")</f>
        <v/>
      </c>
      <c r="Y36">
        <f>HYPERLINK("https://klasma.github.io/Logging_252506/tillsynsmail/A 12403-2025 tillsynsbegäran mail.docx", "A 12403-2025")</f>
        <v/>
      </c>
      <c r="Z36">
        <f>HYPERLINK("https://klasma.github.io/Logging_252506/fåglar/A 12403-2025 prioriterade fågelarter.docx", "A 12403-2025")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45877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HYPERLINK("https://klasma.github.io/Logging_252506/artfynd/A 18921-2025 artfynd.xlsx", "A 18921-2025")</f>
        <v/>
      </c>
      <c r="T37">
        <f>HYPERLINK("https://klasma.github.io/Logging_252506/kartor/A 18921-2025 karta.png", "A 18921-2025")</f>
        <v/>
      </c>
      <c r="V37">
        <f>HYPERLINK("https://klasma.github.io/Logging_252506/klagomål/A 18921-2025 FSC-klagomål.docx", "A 18921-2025")</f>
        <v/>
      </c>
      <c r="W37">
        <f>HYPERLINK("https://klasma.github.io/Logging_252506/klagomålsmail/A 18921-2025 FSC-klagomål mail.docx", "A 18921-2025")</f>
        <v/>
      </c>
      <c r="X37">
        <f>HYPERLINK("https://klasma.github.io/Logging_252506/tillsyn/A 18921-2025 tillsynsbegäran.docx", "A 18921-2025")</f>
        <v/>
      </c>
      <c r="Y37">
        <f>HYPERLINK("https://klasma.github.io/Logging_252506/tillsynsmail/A 18921-2025 tillsynsbegäran mail.docx", "A 18921-2025")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45877</v>
      </c>
      <c r="D38" t="inlineStr">
        <is>
          <t>NORRBOTTENS LÄN</t>
        </is>
      </c>
      <c r="E38" t="inlineStr">
        <is>
          <t>ARJEPLOG</t>
        </is>
      </c>
      <c r="G38" t="n">
        <v>21.6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HYPERLINK("https://klasma.github.io/Logging_252506/artfynd/A 26503-2025 artfynd.xlsx", "A 26503-2025")</f>
        <v/>
      </c>
      <c r="T38">
        <f>HYPERLINK("https://klasma.github.io/Logging_252506/kartor/A 26503-2025 karta.png", "A 26503-2025")</f>
        <v/>
      </c>
      <c r="V38">
        <f>HYPERLINK("https://klasma.github.io/Logging_252506/klagomål/A 26503-2025 FSC-klagomål.docx", "A 26503-2025")</f>
        <v/>
      </c>
      <c r="W38">
        <f>HYPERLINK("https://klasma.github.io/Logging_252506/klagomålsmail/A 26503-2025 FSC-klagomål mail.docx", "A 26503-2025")</f>
        <v/>
      </c>
      <c r="X38">
        <f>HYPERLINK("https://klasma.github.io/Logging_252506/tillsyn/A 26503-2025 tillsynsbegäran.docx", "A 26503-2025")</f>
        <v/>
      </c>
      <c r="Y38">
        <f>HYPERLINK("https://klasma.github.io/Logging_252506/tillsynsmail/A 26503-2025 tillsynsbegäran mail.docx", "A 26503-2025")</f>
        <v/>
      </c>
    </row>
    <row r="39" ht="15" customHeight="1">
      <c r="A39" t="inlineStr">
        <is>
          <t>A 21344-2019</t>
        </is>
      </c>
      <c r="B39" s="1" t="n">
        <v>43579</v>
      </c>
      <c r="C39" s="1" t="n">
        <v>45877</v>
      </c>
      <c r="D39" t="inlineStr">
        <is>
          <t>NORRBOTTENS LÄN</t>
        </is>
      </c>
      <c r="E39" t="inlineStr">
        <is>
          <t>ARJEPLOG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25107-2019</t>
        </is>
      </c>
      <c r="B40" s="1" t="n">
        <v>43600</v>
      </c>
      <c r="C40" s="1" t="n">
        <v>45877</v>
      </c>
      <c r="D40" t="inlineStr">
        <is>
          <t>NORRBOTTENS LÄN</t>
        </is>
      </c>
      <c r="E40" t="inlineStr">
        <is>
          <t>ARJEPLOG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24943-2019</t>
        </is>
      </c>
      <c r="B41" s="1" t="n">
        <v>43602</v>
      </c>
      <c r="C41" s="1" t="n">
        <v>45877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19.5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26099-2019</t>
        </is>
      </c>
      <c r="B42" s="1" t="n">
        <v>43605</v>
      </c>
      <c r="C42" s="1" t="n">
        <v>45877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40.2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28869-2019</t>
        </is>
      </c>
      <c r="B43" s="1" t="n">
        <v>43616</v>
      </c>
      <c r="C43" s="1" t="n">
        <v>45877</v>
      </c>
      <c r="D43" t="inlineStr">
        <is>
          <t>NORRBOTTENS LÄN</t>
        </is>
      </c>
      <c r="E43" t="inlineStr">
        <is>
          <t>ARJEPLOG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29502-2019</t>
        </is>
      </c>
      <c r="B44" s="1" t="n">
        <v>43627</v>
      </c>
      <c r="C44" s="1" t="n">
        <v>45877</v>
      </c>
      <c r="D44" t="inlineStr">
        <is>
          <t>NORRBOTTENS LÄN</t>
        </is>
      </c>
      <c r="E44" t="inlineStr">
        <is>
          <t>ARJEPLOG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32493-2019</t>
        </is>
      </c>
      <c r="B45" s="1" t="n">
        <v>43644</v>
      </c>
      <c r="C45" s="1" t="n">
        <v>45877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35842-2019</t>
        </is>
      </c>
      <c r="B46" s="1" t="n">
        <v>43665</v>
      </c>
      <c r="C46" s="1" t="n">
        <v>45877</v>
      </c>
      <c r="D46" t="inlineStr">
        <is>
          <t>NORRBOTTENS LÄN</t>
        </is>
      </c>
      <c r="E46" t="inlineStr">
        <is>
          <t>ARJEPLOG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40255-2019</t>
        </is>
      </c>
      <c r="B47" s="1" t="n">
        <v>43695</v>
      </c>
      <c r="C47" s="1" t="n">
        <v>45877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41772-2019</t>
        </is>
      </c>
      <c r="B48" s="1" t="n">
        <v>43699</v>
      </c>
      <c r="C48" s="1" t="n">
        <v>45877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41774-2019</t>
        </is>
      </c>
      <c r="B49" s="1" t="n">
        <v>43699</v>
      </c>
      <c r="C49" s="1" t="n">
        <v>45877</v>
      </c>
      <c r="D49" t="inlineStr">
        <is>
          <t>NORRBOTTENS LÄN</t>
        </is>
      </c>
      <c r="E49" t="inlineStr">
        <is>
          <t>ARJEPLOG</t>
        </is>
      </c>
      <c r="F49" t="inlineStr">
        <is>
          <t>SCA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42077-2019</t>
        </is>
      </c>
      <c r="B50" s="1" t="n">
        <v>43700</v>
      </c>
      <c r="C50" s="1" t="n">
        <v>45877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42333-2019</t>
        </is>
      </c>
      <c r="B51" s="1" t="n">
        <v>43703</v>
      </c>
      <c r="C51" s="1" t="n">
        <v>45877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49149-2019</t>
        </is>
      </c>
      <c r="B52" s="1" t="n">
        <v>43728</v>
      </c>
      <c r="C52" s="1" t="n">
        <v>45877</v>
      </c>
      <c r="D52" t="inlineStr">
        <is>
          <t>NORRBOTTENS LÄN</t>
        </is>
      </c>
      <c r="E52" t="inlineStr">
        <is>
          <t>ARJEPLOG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49218-2019</t>
        </is>
      </c>
      <c r="B53" s="1" t="n">
        <v>43731</v>
      </c>
      <c r="C53" s="1" t="n">
        <v>45877</v>
      </c>
      <c r="D53" t="inlineStr">
        <is>
          <t>NORRBOTTENS LÄN</t>
        </is>
      </c>
      <c r="E53" t="inlineStr">
        <is>
          <t>ARJEPLOG</t>
        </is>
      </c>
      <c r="F53" t="inlineStr">
        <is>
          <t>Allmännings- och besparingsskogar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59550-2019</t>
        </is>
      </c>
      <c r="B54" s="1" t="n">
        <v>43776</v>
      </c>
      <c r="C54" s="1" t="n">
        <v>45877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65220-2019</t>
        </is>
      </c>
      <c r="B55" s="1" t="n">
        <v>43797</v>
      </c>
      <c r="C55" s="1" t="n">
        <v>45877</v>
      </c>
      <c r="D55" t="inlineStr">
        <is>
          <t>NORRBOTTENS LÄN</t>
        </is>
      </c>
      <c r="E55" t="inlineStr">
        <is>
          <t>ARJEPLOG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65894-2019</t>
        </is>
      </c>
      <c r="B56" s="1" t="n">
        <v>43798</v>
      </c>
      <c r="C56" s="1" t="n">
        <v>45877</v>
      </c>
      <c r="D56" t="inlineStr">
        <is>
          <t>NORRBOTTENS LÄN</t>
        </is>
      </c>
      <c r="E56" t="inlineStr">
        <is>
          <t>ARJEPLOG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66484-2019</t>
        </is>
      </c>
      <c r="B57" s="1" t="n">
        <v>43803</v>
      </c>
      <c r="C57" s="1" t="n">
        <v>45877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816-2020</t>
        </is>
      </c>
      <c r="B58" s="1" t="n">
        <v>43838</v>
      </c>
      <c r="C58" s="1" t="n">
        <v>45877</v>
      </c>
      <c r="D58" t="inlineStr">
        <is>
          <t>NORRBOTTENS LÄN</t>
        </is>
      </c>
      <c r="E58" t="inlineStr">
        <is>
          <t>ARJEPLOG</t>
        </is>
      </c>
      <c r="F58" t="inlineStr">
        <is>
          <t>SCA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815-2020</t>
        </is>
      </c>
      <c r="B59" s="1" t="n">
        <v>43838</v>
      </c>
      <c r="C59" s="1" t="n">
        <v>45877</v>
      </c>
      <c r="D59" t="inlineStr">
        <is>
          <t>NORRBOTTENS LÄN</t>
        </is>
      </c>
      <c r="E59" t="inlineStr">
        <is>
          <t>ARJEPLOG</t>
        </is>
      </c>
      <c r="F59" t="inlineStr">
        <is>
          <t>SCA</t>
        </is>
      </c>
      <c r="G59" t="n">
        <v>17.1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11303-2020</t>
        </is>
      </c>
      <c r="B60" s="1" t="n">
        <v>43892</v>
      </c>
      <c r="C60" s="1" t="n">
        <v>45877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17204-2020</t>
        </is>
      </c>
      <c r="B61" s="1" t="n">
        <v>43913</v>
      </c>
      <c r="C61" s="1" t="n">
        <v>45877</v>
      </c>
      <c r="D61" t="inlineStr">
        <is>
          <t>NORRBOTTENS LÄN</t>
        </is>
      </c>
      <c r="E61" t="inlineStr">
        <is>
          <t>ARJEPLOG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17025-2020</t>
        </is>
      </c>
      <c r="B62" s="1" t="n">
        <v>43913</v>
      </c>
      <c r="C62" s="1" t="n">
        <v>45877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17208-2020</t>
        </is>
      </c>
      <c r="B63" s="1" t="n">
        <v>43914</v>
      </c>
      <c r="C63" s="1" t="n">
        <v>45877</v>
      </c>
      <c r="D63" t="inlineStr">
        <is>
          <t>NORRBOTTENS LÄN</t>
        </is>
      </c>
      <c r="E63" t="inlineStr">
        <is>
          <t>ARJEPLOG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17244-2020</t>
        </is>
      </c>
      <c r="B64" s="1" t="n">
        <v>43914</v>
      </c>
      <c r="C64" s="1" t="n">
        <v>45877</v>
      </c>
      <c r="D64" t="inlineStr">
        <is>
          <t>NORRBOTTENS LÄN</t>
        </is>
      </c>
      <c r="E64" t="inlineStr">
        <is>
          <t>ARJEPLOG</t>
        </is>
      </c>
      <c r="G64" t="n">
        <v>18.3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17744-2020</t>
        </is>
      </c>
      <c r="B65" s="1" t="n">
        <v>43914</v>
      </c>
      <c r="C65" s="1" t="n">
        <v>45877</v>
      </c>
      <c r="D65" t="inlineStr">
        <is>
          <t>NORRBOTTENS LÄN</t>
        </is>
      </c>
      <c r="E65" t="inlineStr">
        <is>
          <t>ARJEPLOG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17761-2020</t>
        </is>
      </c>
      <c r="B66" s="1" t="n">
        <v>43914</v>
      </c>
      <c r="C66" s="1" t="n">
        <v>45877</v>
      </c>
      <c r="D66" t="inlineStr">
        <is>
          <t>NORRBOTTENS LÄN</t>
        </is>
      </c>
      <c r="E66" t="inlineStr">
        <is>
          <t>ARJEPLOG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25139-2020</t>
        </is>
      </c>
      <c r="B67" s="1" t="n">
        <v>43979</v>
      </c>
      <c r="C67" s="1" t="n">
        <v>45877</v>
      </c>
      <c r="D67" t="inlineStr">
        <is>
          <t>NORRBOTTENS LÄN</t>
        </is>
      </c>
      <c r="E67" t="inlineStr">
        <is>
          <t>ARJEPLOG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30397-2020</t>
        </is>
      </c>
      <c r="B68" s="1" t="n">
        <v>44007</v>
      </c>
      <c r="C68" s="1" t="n">
        <v>45877</v>
      </c>
      <c r="D68" t="inlineStr">
        <is>
          <t>NORRBOTTENS LÄN</t>
        </is>
      </c>
      <c r="E68" t="inlineStr">
        <is>
          <t>ARJEPLOG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33219-2020</t>
        </is>
      </c>
      <c r="B69" s="1" t="n">
        <v>44020</v>
      </c>
      <c r="C69" s="1" t="n">
        <v>45877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33717-2020</t>
        </is>
      </c>
      <c r="B70" s="1" t="n">
        <v>44026</v>
      </c>
      <c r="C70" s="1" t="n">
        <v>45877</v>
      </c>
      <c r="D70" t="inlineStr">
        <is>
          <t>NORRBOTTENS LÄN</t>
        </is>
      </c>
      <c r="E70" t="inlineStr">
        <is>
          <t>ARJEPLOG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33720-2020</t>
        </is>
      </c>
      <c r="B71" s="1" t="n">
        <v>44026</v>
      </c>
      <c r="C71" s="1" t="n">
        <v>45877</v>
      </c>
      <c r="D71" t="inlineStr">
        <is>
          <t>NORRBOTTENS LÄN</t>
        </is>
      </c>
      <c r="E71" t="inlineStr">
        <is>
          <t>ARJEPLOG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61272-2020</t>
        </is>
      </c>
      <c r="B72" s="1" t="n">
        <v>44154</v>
      </c>
      <c r="C72" s="1" t="n">
        <v>45877</v>
      </c>
      <c r="D72" t="inlineStr">
        <is>
          <t>NORRBOTTENS LÄN</t>
        </is>
      </c>
      <c r="E72" t="inlineStr">
        <is>
          <t>ARJEPLOG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61050-2020</t>
        </is>
      </c>
      <c r="B73" s="1" t="n">
        <v>44154</v>
      </c>
      <c r="C73" s="1" t="n">
        <v>45877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64857-2020</t>
        </is>
      </c>
      <c r="B74" s="1" t="n">
        <v>44171</v>
      </c>
      <c r="C74" s="1" t="n">
        <v>45877</v>
      </c>
      <c r="D74" t="inlineStr">
        <is>
          <t>NORRBOTTENS LÄN</t>
        </is>
      </c>
      <c r="E74" t="inlineStr">
        <is>
          <t>ARJEPLOG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8727-2021</t>
        </is>
      </c>
      <c r="B75" s="1" t="n">
        <v>44246</v>
      </c>
      <c r="C75" s="1" t="n">
        <v>45877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8721-2021</t>
        </is>
      </c>
      <c r="B76" s="1" t="n">
        <v>44246</v>
      </c>
      <c r="C76" s="1" t="n">
        <v>45877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48.3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14375-2021</t>
        </is>
      </c>
      <c r="B77" s="1" t="n">
        <v>44279</v>
      </c>
      <c r="C77" s="1" t="n">
        <v>45877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60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31439-2021</t>
        </is>
      </c>
      <c r="B78" s="1" t="n">
        <v>44369</v>
      </c>
      <c r="C78" s="1" t="n">
        <v>45877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41799-2021</t>
        </is>
      </c>
      <c r="B79" s="1" t="n">
        <v>44425</v>
      </c>
      <c r="C79" s="1" t="n">
        <v>45877</v>
      </c>
      <c r="D79" t="inlineStr">
        <is>
          <t>NORRBOTTENS LÄN</t>
        </is>
      </c>
      <c r="E79" t="inlineStr">
        <is>
          <t>ARJEPLOG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46585-2021</t>
        </is>
      </c>
      <c r="B80" s="1" t="n">
        <v>44445</v>
      </c>
      <c r="C80" s="1" t="n">
        <v>45877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54589-2021</t>
        </is>
      </c>
      <c r="B81" s="1" t="n">
        <v>44473</v>
      </c>
      <c r="C81" s="1" t="n">
        <v>45877</v>
      </c>
      <c r="D81" t="inlineStr">
        <is>
          <t>NORRBOTTENS LÄN</t>
        </is>
      </c>
      <c r="E81" t="inlineStr">
        <is>
          <t>ARJEPLOG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45877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56275-2021</t>
        </is>
      </c>
      <c r="B83" s="1" t="n">
        <v>44479</v>
      </c>
      <c r="C83" s="1" t="n">
        <v>45877</v>
      </c>
      <c r="D83" t="inlineStr">
        <is>
          <t>NORRBOTTENS LÄN</t>
        </is>
      </c>
      <c r="E83" t="inlineStr">
        <is>
          <t>ARJEPLOG</t>
        </is>
      </c>
      <c r="G83" t="n">
        <v>16.2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56274-2021</t>
        </is>
      </c>
      <c r="B84" s="1" t="n">
        <v>44479</v>
      </c>
      <c r="C84" s="1" t="n">
        <v>45877</v>
      </c>
      <c r="D84" t="inlineStr">
        <is>
          <t>NORRBOTTENS LÄN</t>
        </is>
      </c>
      <c r="E84" t="inlineStr">
        <is>
          <t>ARJEPLOG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56278-2021</t>
        </is>
      </c>
      <c r="B85" s="1" t="n">
        <v>44479</v>
      </c>
      <c r="C85" s="1" t="n">
        <v>45877</v>
      </c>
      <c r="D85" t="inlineStr">
        <is>
          <t>NORRBOTTENS LÄN</t>
        </is>
      </c>
      <c r="E85" t="inlineStr">
        <is>
          <t>ARJEPLOG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56276-2021</t>
        </is>
      </c>
      <c r="B86" s="1" t="n">
        <v>44479</v>
      </c>
      <c r="C86" s="1" t="n">
        <v>45877</v>
      </c>
      <c r="D86" t="inlineStr">
        <is>
          <t>NORRBOTTENS LÄN</t>
        </is>
      </c>
      <c r="E86" t="inlineStr">
        <is>
          <t>ARJEPLOG</t>
        </is>
      </c>
      <c r="G86" t="n">
        <v>19.8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56277-2021</t>
        </is>
      </c>
      <c r="B87" s="1" t="n">
        <v>44479</v>
      </c>
      <c r="C87" s="1" t="n">
        <v>45877</v>
      </c>
      <c r="D87" t="inlineStr">
        <is>
          <t>NORRBOTTENS LÄN</t>
        </is>
      </c>
      <c r="E87" t="inlineStr">
        <is>
          <t>ARJEPLOG</t>
        </is>
      </c>
      <c r="G87" t="n">
        <v>19.4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58879-2021</t>
        </is>
      </c>
      <c r="B88" s="1" t="n">
        <v>44489</v>
      </c>
      <c r="C88" s="1" t="n">
        <v>45877</v>
      </c>
      <c r="D88" t="inlineStr">
        <is>
          <t>NORRBOTTENS LÄN</t>
        </is>
      </c>
      <c r="E88" t="inlineStr">
        <is>
          <t>ARJEPLOG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66844-2021</t>
        </is>
      </c>
      <c r="B89" s="1" t="n">
        <v>44520</v>
      </c>
      <c r="C89" s="1" t="n">
        <v>45877</v>
      </c>
      <c r="D89" t="inlineStr">
        <is>
          <t>NORRBOTTENS LÄN</t>
        </is>
      </c>
      <c r="E89" t="inlineStr">
        <is>
          <t>ARJEPLOG</t>
        </is>
      </c>
      <c r="G89" t="n">
        <v>44.8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70865-2021</t>
        </is>
      </c>
      <c r="B90" s="1" t="n">
        <v>44537</v>
      </c>
      <c r="C90" s="1" t="n">
        <v>45877</v>
      </c>
      <c r="D90" t="inlineStr">
        <is>
          <t>NORRBOTTENS LÄN</t>
        </is>
      </c>
      <c r="E90" t="inlineStr">
        <is>
          <t>ARJEPLOG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72279-2021</t>
        </is>
      </c>
      <c r="B91" s="1" t="n">
        <v>44543</v>
      </c>
      <c r="C91" s="1" t="n">
        <v>45877</v>
      </c>
      <c r="D91" t="inlineStr">
        <is>
          <t>NORRBOTTENS LÄN</t>
        </is>
      </c>
      <c r="E91" t="inlineStr">
        <is>
          <t>ARJEPLOG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73880-2021</t>
        </is>
      </c>
      <c r="B92" s="1" t="n">
        <v>44552</v>
      </c>
      <c r="C92" s="1" t="n">
        <v>45877</v>
      </c>
      <c r="D92" t="inlineStr">
        <is>
          <t>NORRBOTTENS LÄN</t>
        </is>
      </c>
      <c r="E92" t="inlineStr">
        <is>
          <t>ARJEPLOG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12789-2022</t>
        </is>
      </c>
      <c r="B93" s="1" t="n">
        <v>44642</v>
      </c>
      <c r="C93" s="1" t="n">
        <v>45877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56.1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19514-2022</t>
        </is>
      </c>
      <c r="B94" s="1" t="n">
        <v>44693</v>
      </c>
      <c r="C94" s="1" t="n">
        <v>45877</v>
      </c>
      <c r="D94" t="inlineStr">
        <is>
          <t>NORRBOTTENS LÄN</t>
        </is>
      </c>
      <c r="E94" t="inlineStr">
        <is>
          <t>ARJEPLOG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19620-2022</t>
        </is>
      </c>
      <c r="B95" s="1" t="n">
        <v>44694</v>
      </c>
      <c r="C95" s="1" t="n">
        <v>45877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20789-2022</t>
        </is>
      </c>
      <c r="B96" s="1" t="n">
        <v>44701</v>
      </c>
      <c r="C96" s="1" t="n">
        <v>45877</v>
      </c>
      <c r="D96" t="inlineStr">
        <is>
          <t>NORRBOTTENS LÄN</t>
        </is>
      </c>
      <c r="E96" t="inlineStr">
        <is>
          <t>ARJEPLOG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21004-2022</t>
        </is>
      </c>
      <c r="B97" s="1" t="n">
        <v>44701</v>
      </c>
      <c r="C97" s="1" t="n">
        <v>45877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25559-2022</t>
        </is>
      </c>
      <c r="B98" s="1" t="n">
        <v>44732</v>
      </c>
      <c r="C98" s="1" t="n">
        <v>45877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26773-2022</t>
        </is>
      </c>
      <c r="B99" s="1" t="n">
        <v>44732</v>
      </c>
      <c r="C99" s="1" t="n">
        <v>45877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34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28354-2022</t>
        </is>
      </c>
      <c r="B100" s="1" t="n">
        <v>44735</v>
      </c>
      <c r="C100" s="1" t="n">
        <v>45877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26811-2022</t>
        </is>
      </c>
      <c r="B101" s="1" t="n">
        <v>44735</v>
      </c>
      <c r="C101" s="1" t="n">
        <v>45877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28358-2022</t>
        </is>
      </c>
      <c r="B102" s="1" t="n">
        <v>44735</v>
      </c>
      <c r="C102" s="1" t="n">
        <v>45877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27092-2022</t>
        </is>
      </c>
      <c r="B103" s="1" t="n">
        <v>44741</v>
      </c>
      <c r="C103" s="1" t="n">
        <v>45877</v>
      </c>
      <c r="D103" t="inlineStr">
        <is>
          <t>NORRBOTTENS LÄN</t>
        </is>
      </c>
      <c r="E103" t="inlineStr">
        <is>
          <t>ARJEPLOG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41007-2022</t>
        </is>
      </c>
      <c r="B104" s="1" t="n">
        <v>44823</v>
      </c>
      <c r="C104" s="1" t="n">
        <v>45877</v>
      </c>
      <c r="D104" t="inlineStr">
        <is>
          <t>NORRBOTTENS LÄN</t>
        </is>
      </c>
      <c r="E104" t="inlineStr">
        <is>
          <t>ARJEPLOG</t>
        </is>
      </c>
      <c r="G104" t="n">
        <v>32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42274-2022</t>
        </is>
      </c>
      <c r="B105" s="1" t="n">
        <v>44830</v>
      </c>
      <c r="C105" s="1" t="n">
        <v>45877</v>
      </c>
      <c r="D105" t="inlineStr">
        <is>
          <t>NORRBOTTENS LÄN</t>
        </is>
      </c>
      <c r="E105" t="inlineStr">
        <is>
          <t>ARJEPLOG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43045-2022</t>
        </is>
      </c>
      <c r="B106" s="1" t="n">
        <v>44833</v>
      </c>
      <c r="C106" s="1" t="n">
        <v>45877</v>
      </c>
      <c r="D106" t="inlineStr">
        <is>
          <t>NORRBOTTENS LÄN</t>
        </is>
      </c>
      <c r="E106" t="inlineStr">
        <is>
          <t>ARJEPLOG</t>
        </is>
      </c>
      <c r="G106" t="n">
        <v>49.2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44751-2022</t>
        </is>
      </c>
      <c r="B107" s="1" t="n">
        <v>44840</v>
      </c>
      <c r="C107" s="1" t="n">
        <v>45877</v>
      </c>
      <c r="D107" t="inlineStr">
        <is>
          <t>NORRBOTTENS LÄN</t>
        </is>
      </c>
      <c r="E107" t="inlineStr">
        <is>
          <t>ARJEPLOG</t>
        </is>
      </c>
      <c r="F107" t="inlineStr">
        <is>
          <t>SCA</t>
        </is>
      </c>
      <c r="G107" t="n">
        <v>26.1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46093-2022</t>
        </is>
      </c>
      <c r="B108" s="1" t="n">
        <v>44845</v>
      </c>
      <c r="C108" s="1" t="n">
        <v>45877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52573-2022</t>
        </is>
      </c>
      <c r="B109" s="1" t="n">
        <v>44874</v>
      </c>
      <c r="C109" s="1" t="n">
        <v>45877</v>
      </c>
      <c r="D109" t="inlineStr">
        <is>
          <t>NORRBOTTENS LÄN</t>
        </is>
      </c>
      <c r="E109" t="inlineStr">
        <is>
          <t>ARJEPLOG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52581-2022</t>
        </is>
      </c>
      <c r="B110" s="1" t="n">
        <v>44874</v>
      </c>
      <c r="C110" s="1" t="n">
        <v>45877</v>
      </c>
      <c r="D110" t="inlineStr">
        <is>
          <t>NORRBOTTENS LÄN</t>
        </is>
      </c>
      <c r="E110" t="inlineStr">
        <is>
          <t>ARJEPLOG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8625-2023</t>
        </is>
      </c>
      <c r="B111" s="1" t="n">
        <v>44977</v>
      </c>
      <c r="C111" s="1" t="n">
        <v>45877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12656-2023</t>
        </is>
      </c>
      <c r="B112" s="1" t="n">
        <v>44999</v>
      </c>
      <c r="C112" s="1" t="n">
        <v>45877</v>
      </c>
      <c r="D112" t="inlineStr">
        <is>
          <t>NORRBOTTENS LÄN</t>
        </is>
      </c>
      <c r="E112" t="inlineStr">
        <is>
          <t>ARJEPLOG</t>
        </is>
      </c>
      <c r="G112" t="n">
        <v>18.9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13590-2023</t>
        </is>
      </c>
      <c r="B113" s="1" t="n">
        <v>45005</v>
      </c>
      <c r="C113" s="1" t="n">
        <v>45877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17536-2023</t>
        </is>
      </c>
      <c r="B114" s="1" t="n">
        <v>45034</v>
      </c>
      <c r="C114" s="1" t="n">
        <v>45877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25275-2023</t>
        </is>
      </c>
      <c r="B115" s="1" t="n">
        <v>45079</v>
      </c>
      <c r="C115" s="1" t="n">
        <v>45877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22.7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25239-2023</t>
        </is>
      </c>
      <c r="B116" s="1" t="n">
        <v>45079</v>
      </c>
      <c r="C116" s="1" t="n">
        <v>45877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25270-2023</t>
        </is>
      </c>
      <c r="B117" s="1" t="n">
        <v>45079</v>
      </c>
      <c r="C117" s="1" t="n">
        <v>45877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29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30726-2023</t>
        </is>
      </c>
      <c r="B118" s="1" t="n">
        <v>45112</v>
      </c>
      <c r="C118" s="1" t="n">
        <v>45877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17.3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30730-2023</t>
        </is>
      </c>
      <c r="B119" s="1" t="n">
        <v>45112</v>
      </c>
      <c r="C119" s="1" t="n">
        <v>45877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45877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35806-2023</t>
        </is>
      </c>
      <c r="B121" s="1" t="n">
        <v>45147</v>
      </c>
      <c r="C121" s="1" t="n">
        <v>45877</v>
      </c>
      <c r="D121" t="inlineStr">
        <is>
          <t>NORRBOTTENS LÄN</t>
        </is>
      </c>
      <c r="E121" t="inlineStr">
        <is>
          <t>ARJEPLOG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36623-2023</t>
        </is>
      </c>
      <c r="B122" s="1" t="n">
        <v>45153</v>
      </c>
      <c r="C122" s="1" t="n">
        <v>45877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44218-2023</t>
        </is>
      </c>
      <c r="B123" s="1" t="n">
        <v>45183</v>
      </c>
      <c r="C123" s="1" t="n">
        <v>45877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45072-2023</t>
        </is>
      </c>
      <c r="B124" s="1" t="n">
        <v>45187</v>
      </c>
      <c r="C124" s="1" t="n">
        <v>45877</v>
      </c>
      <c r="D124" t="inlineStr">
        <is>
          <t>NORRBOTTENS LÄN</t>
        </is>
      </c>
      <c r="E124" t="inlineStr">
        <is>
          <t>ARJEPLOG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45064-2023</t>
        </is>
      </c>
      <c r="B125" s="1" t="n">
        <v>45187</v>
      </c>
      <c r="C125" s="1" t="n">
        <v>45877</v>
      </c>
      <c r="D125" t="inlineStr">
        <is>
          <t>NORRBOTTENS LÄN</t>
        </is>
      </c>
      <c r="E125" t="inlineStr">
        <is>
          <t>ARJEPLOG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45877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48376-2023</t>
        </is>
      </c>
      <c r="B127" s="1" t="n">
        <v>45205</v>
      </c>
      <c r="C127" s="1" t="n">
        <v>45877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Aktiebolag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48940-2023</t>
        </is>
      </c>
      <c r="B128" s="1" t="n">
        <v>45205</v>
      </c>
      <c r="C128" s="1" t="n">
        <v>45877</v>
      </c>
      <c r="D128" t="inlineStr">
        <is>
          <t>NORRBOTTENS LÄN</t>
        </is>
      </c>
      <c r="E128" t="inlineStr">
        <is>
          <t>ARJEPLOG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58370-2023</t>
        </is>
      </c>
      <c r="B129" s="1" t="n">
        <v>45250</v>
      </c>
      <c r="C129" s="1" t="n">
        <v>45877</v>
      </c>
      <c r="D129" t="inlineStr">
        <is>
          <t>NORRBOTTENS LÄN</t>
        </is>
      </c>
      <c r="E129" t="inlineStr">
        <is>
          <t>ARJEPLOG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59124-2023</t>
        </is>
      </c>
      <c r="B130" s="1" t="n">
        <v>45251</v>
      </c>
      <c r="C130" s="1" t="n">
        <v>45877</v>
      </c>
      <c r="D130" t="inlineStr">
        <is>
          <t>NORRBOTTENS LÄN</t>
        </is>
      </c>
      <c r="E130" t="inlineStr">
        <is>
          <t>ARJEPLOG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62811-2023</t>
        </is>
      </c>
      <c r="B131" s="1" t="n">
        <v>45268</v>
      </c>
      <c r="C131" s="1" t="n">
        <v>45877</v>
      </c>
      <c r="D131" t="inlineStr">
        <is>
          <t>NORRBOTTENS LÄN</t>
        </is>
      </c>
      <c r="E131" t="inlineStr">
        <is>
          <t>ARJEPLOG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62813-2023</t>
        </is>
      </c>
      <c r="B132" s="1" t="n">
        <v>45268</v>
      </c>
      <c r="C132" s="1" t="n">
        <v>45877</v>
      </c>
      <c r="D132" t="inlineStr">
        <is>
          <t>NORRBOTTENS LÄN</t>
        </is>
      </c>
      <c r="E132" t="inlineStr">
        <is>
          <t>ARJEPLOG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45877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45877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45877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64826-2023</t>
        </is>
      </c>
      <c r="B136" s="1" t="n">
        <v>45281</v>
      </c>
      <c r="C136" s="1" t="n">
        <v>45877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45877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64840-2023</t>
        </is>
      </c>
      <c r="B138" s="1" t="n">
        <v>45281</v>
      </c>
      <c r="C138" s="1" t="n">
        <v>45877</v>
      </c>
      <c r="D138" t="inlineStr">
        <is>
          <t>NORRBOTTENS LÄN</t>
        </is>
      </c>
      <c r="E138" t="inlineStr">
        <is>
          <t>ARJEPLOG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64816-2023</t>
        </is>
      </c>
      <c r="B139" s="1" t="n">
        <v>45281</v>
      </c>
      <c r="C139" s="1" t="n">
        <v>45877</v>
      </c>
      <c r="D139" t="inlineStr">
        <is>
          <t>NORRBOTTENS LÄN</t>
        </is>
      </c>
      <c r="E139" t="inlineStr">
        <is>
          <t>ARJEPLOG</t>
        </is>
      </c>
      <c r="G139" t="n">
        <v>13.4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45877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3006-2024</t>
        </is>
      </c>
      <c r="B141" s="1" t="n">
        <v>45315</v>
      </c>
      <c r="C141" s="1" t="n">
        <v>45877</v>
      </c>
      <c r="D141" t="inlineStr">
        <is>
          <t>NORRBOTTENS LÄN</t>
        </is>
      </c>
      <c r="E141" t="inlineStr">
        <is>
          <t>ARJEPLOG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3360-2024</t>
        </is>
      </c>
      <c r="B142" s="1" t="n">
        <v>45317</v>
      </c>
      <c r="C142" s="1" t="n">
        <v>45877</v>
      </c>
      <c r="D142" t="inlineStr">
        <is>
          <t>NORRBOTTENS LÄN</t>
        </is>
      </c>
      <c r="E142" t="inlineStr">
        <is>
          <t>ARJEPLOG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7785-2024</t>
        </is>
      </c>
      <c r="B143" s="1" t="n">
        <v>45348</v>
      </c>
      <c r="C143" s="1" t="n">
        <v>45877</v>
      </c>
      <c r="D143" t="inlineStr">
        <is>
          <t>NORRBOTTENS LÄN</t>
        </is>
      </c>
      <c r="E143" t="inlineStr">
        <is>
          <t>ARJEPLOG</t>
        </is>
      </c>
      <c r="G143" t="n">
        <v>26.7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9840-2024</t>
        </is>
      </c>
      <c r="B144" s="1" t="n">
        <v>45362</v>
      </c>
      <c r="C144" s="1" t="n">
        <v>45877</v>
      </c>
      <c r="D144" t="inlineStr">
        <is>
          <t>NORRBOTTENS LÄN</t>
        </is>
      </c>
      <c r="E144" t="inlineStr">
        <is>
          <t>ARJEPLOG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19005-2024</t>
        </is>
      </c>
      <c r="B145" s="1" t="n">
        <v>45427</v>
      </c>
      <c r="C145" s="1" t="n">
        <v>45877</v>
      </c>
      <c r="D145" t="inlineStr">
        <is>
          <t>NORRBOTTENS LÄN</t>
        </is>
      </c>
      <c r="E145" t="inlineStr">
        <is>
          <t>ARJEPLOG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19443-2024</t>
        </is>
      </c>
      <c r="B146" s="1" t="n">
        <v>45429</v>
      </c>
      <c r="C146" s="1" t="n">
        <v>45877</v>
      </c>
      <c r="D146" t="inlineStr">
        <is>
          <t>NORRBOTTENS LÄN</t>
        </is>
      </c>
      <c r="E146" t="inlineStr">
        <is>
          <t>ARJEPLOG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19452-2024</t>
        </is>
      </c>
      <c r="B147" s="1" t="n">
        <v>45429</v>
      </c>
      <c r="C147" s="1" t="n">
        <v>45877</v>
      </c>
      <c r="D147" t="inlineStr">
        <is>
          <t>NORRBOTTENS LÄN</t>
        </is>
      </c>
      <c r="E147" t="inlineStr">
        <is>
          <t>ARJEPLOG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19442-2024</t>
        </is>
      </c>
      <c r="B148" s="1" t="n">
        <v>45429</v>
      </c>
      <c r="C148" s="1" t="n">
        <v>45877</v>
      </c>
      <c r="D148" t="inlineStr">
        <is>
          <t>NORRBOTTENS LÄN</t>
        </is>
      </c>
      <c r="E148" t="inlineStr">
        <is>
          <t>ARJEPLOG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19842-2024</t>
        </is>
      </c>
      <c r="B149" s="1" t="n">
        <v>45432</v>
      </c>
      <c r="C149" s="1" t="n">
        <v>45877</v>
      </c>
      <c r="D149" t="inlineStr">
        <is>
          <t>NORRBOTTENS LÄN</t>
        </is>
      </c>
      <c r="E149" t="inlineStr">
        <is>
          <t>ARJEPLOG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23949-2024</t>
        </is>
      </c>
      <c r="B150" s="1" t="n">
        <v>45455</v>
      </c>
      <c r="C150" s="1" t="n">
        <v>45877</v>
      </c>
      <c r="D150" t="inlineStr">
        <is>
          <t>NORRBOTTENS LÄN</t>
        </is>
      </c>
      <c r="E150" t="inlineStr">
        <is>
          <t>ARJEPLOG</t>
        </is>
      </c>
      <c r="F150" t="inlineStr">
        <is>
          <t>SCA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23950-2024</t>
        </is>
      </c>
      <c r="B151" s="1" t="n">
        <v>45455</v>
      </c>
      <c r="C151" s="1" t="n">
        <v>45877</v>
      </c>
      <c r="D151" t="inlineStr">
        <is>
          <t>NORRBOTTENS LÄN</t>
        </is>
      </c>
      <c r="E151" t="inlineStr">
        <is>
          <t>ARJEPLOG</t>
        </is>
      </c>
      <c r="F151" t="inlineStr">
        <is>
          <t>SCA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23952-2024</t>
        </is>
      </c>
      <c r="B152" s="1" t="n">
        <v>45455</v>
      </c>
      <c r="C152" s="1" t="n">
        <v>45877</v>
      </c>
      <c r="D152" t="inlineStr">
        <is>
          <t>NORRBOTTENS LÄN</t>
        </is>
      </c>
      <c r="E152" t="inlineStr">
        <is>
          <t>ARJEPLOG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25928-2024</t>
        </is>
      </c>
      <c r="B153" s="1" t="n">
        <v>45467</v>
      </c>
      <c r="C153" s="1" t="n">
        <v>45877</v>
      </c>
      <c r="D153" t="inlineStr">
        <is>
          <t>NORRBOTTENS LÄN</t>
        </is>
      </c>
      <c r="E153" t="inlineStr">
        <is>
          <t>ARJEPLOG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26103-2024</t>
        </is>
      </c>
      <c r="B154" s="1" t="n">
        <v>45467</v>
      </c>
      <c r="C154" s="1" t="n">
        <v>45877</v>
      </c>
      <c r="D154" t="inlineStr">
        <is>
          <t>NORRBOTTENS LÄN</t>
        </is>
      </c>
      <c r="E154" t="inlineStr">
        <is>
          <t>ARJEPLOG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26148-2024</t>
        </is>
      </c>
      <c r="B155" s="1" t="n">
        <v>45467</v>
      </c>
      <c r="C155" s="1" t="n">
        <v>45877</v>
      </c>
      <c r="D155" t="inlineStr">
        <is>
          <t>NORRBOTTENS LÄN</t>
        </is>
      </c>
      <c r="E155" t="inlineStr">
        <is>
          <t>ARJEPLOG</t>
        </is>
      </c>
      <c r="G155" t="n">
        <v>18.1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26126-2024</t>
        </is>
      </c>
      <c r="B156" s="1" t="n">
        <v>45467</v>
      </c>
      <c r="C156" s="1" t="n">
        <v>45877</v>
      </c>
      <c r="D156" t="inlineStr">
        <is>
          <t>NORRBOTTENS LÄN</t>
        </is>
      </c>
      <c r="E156" t="inlineStr">
        <is>
          <t>ARJEPLOG</t>
        </is>
      </c>
      <c r="G156" t="n">
        <v>26.4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26109-2024</t>
        </is>
      </c>
      <c r="B157" s="1" t="n">
        <v>45467</v>
      </c>
      <c r="C157" s="1" t="n">
        <v>45877</v>
      </c>
      <c r="D157" t="inlineStr">
        <is>
          <t>NORRBOTTENS LÄN</t>
        </is>
      </c>
      <c r="E157" t="inlineStr">
        <is>
          <t>ARJEPLOG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26470-2024</t>
        </is>
      </c>
      <c r="B158" s="1" t="n">
        <v>45468</v>
      </c>
      <c r="C158" s="1" t="n">
        <v>45877</v>
      </c>
      <c r="D158" t="inlineStr">
        <is>
          <t>NORRBOTTENS LÄN</t>
        </is>
      </c>
      <c r="E158" t="inlineStr">
        <is>
          <t>ARJEPLOG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26479-2024</t>
        </is>
      </c>
      <c r="B159" s="1" t="n">
        <v>45468</v>
      </c>
      <c r="C159" s="1" t="n">
        <v>45877</v>
      </c>
      <c r="D159" t="inlineStr">
        <is>
          <t>NORRBOTTENS LÄN</t>
        </is>
      </c>
      <c r="E159" t="inlineStr">
        <is>
          <t>ARJEPLOG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26472-2024</t>
        </is>
      </c>
      <c r="B160" s="1" t="n">
        <v>45469</v>
      </c>
      <c r="C160" s="1" t="n">
        <v>45877</v>
      </c>
      <c r="D160" t="inlineStr">
        <is>
          <t>NORRBOTTENS LÄN</t>
        </is>
      </c>
      <c r="E160" t="inlineStr">
        <is>
          <t>ARJEPLOG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26486-2024</t>
        </is>
      </c>
      <c r="B161" s="1" t="n">
        <v>45469</v>
      </c>
      <c r="C161" s="1" t="n">
        <v>45877</v>
      </c>
      <c r="D161" t="inlineStr">
        <is>
          <t>NORRBOTTENS LÄN</t>
        </is>
      </c>
      <c r="E161" t="inlineStr">
        <is>
          <t>ARJEPLOG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26506-2024</t>
        </is>
      </c>
      <c r="B162" s="1" t="n">
        <v>45469</v>
      </c>
      <c r="C162" s="1" t="n">
        <v>45877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26970-2024</t>
        </is>
      </c>
      <c r="B163" s="1" t="n">
        <v>45470</v>
      </c>
      <c r="C163" s="1" t="n">
        <v>45877</v>
      </c>
      <c r="D163" t="inlineStr">
        <is>
          <t>NORRBOTTENS LÄN</t>
        </is>
      </c>
      <c r="E163" t="inlineStr">
        <is>
          <t>ARJEPLOG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27240-2024</t>
        </is>
      </c>
      <c r="B164" s="1" t="n">
        <v>45471</v>
      </c>
      <c r="C164" s="1" t="n">
        <v>45877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29649-2024</t>
        </is>
      </c>
      <c r="B165" s="1" t="n">
        <v>45484</v>
      </c>
      <c r="C165" s="1" t="n">
        <v>45877</v>
      </c>
      <c r="D165" t="inlineStr">
        <is>
          <t>NORRBOTTENS LÄN</t>
        </is>
      </c>
      <c r="E165" t="inlineStr">
        <is>
          <t>ARJEPLOG</t>
        </is>
      </c>
      <c r="F165" t="inlineStr">
        <is>
          <t>Allmännings- och besparingsskogar</t>
        </is>
      </c>
      <c r="G165" t="n">
        <v>24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35668-2024</t>
        </is>
      </c>
      <c r="B166" s="1" t="n">
        <v>45532</v>
      </c>
      <c r="C166" s="1" t="n">
        <v>45877</v>
      </c>
      <c r="D166" t="inlineStr">
        <is>
          <t>NORRBOTTENS LÄN</t>
        </is>
      </c>
      <c r="E166" t="inlineStr">
        <is>
          <t>ARJEPLOG</t>
        </is>
      </c>
      <c r="F166" t="inlineStr">
        <is>
          <t>Allmännings- och besparingsskogar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41062-2024</t>
        </is>
      </c>
      <c r="B167" s="1" t="n">
        <v>45558</v>
      </c>
      <c r="C167" s="1" t="n">
        <v>45877</v>
      </c>
      <c r="D167" t="inlineStr">
        <is>
          <t>NORRBOTTENS LÄN</t>
        </is>
      </c>
      <c r="E167" t="inlineStr">
        <is>
          <t>ARJEPLOG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45014-2024</t>
        </is>
      </c>
      <c r="B168" s="1" t="n">
        <v>45575</v>
      </c>
      <c r="C168" s="1" t="n">
        <v>45877</v>
      </c>
      <c r="D168" t="inlineStr">
        <is>
          <t>NORRBOTTENS LÄN</t>
        </is>
      </c>
      <c r="E168" t="inlineStr">
        <is>
          <t>ARJEPLOG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45417-2024</t>
        </is>
      </c>
      <c r="B169" s="1" t="n">
        <v>45576</v>
      </c>
      <c r="C169" s="1" t="n">
        <v>45877</v>
      </c>
      <c r="D169" t="inlineStr">
        <is>
          <t>NORRBOTTENS LÄN</t>
        </is>
      </c>
      <c r="E169" t="inlineStr">
        <is>
          <t>ARJEPLOG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45326-2024</t>
        </is>
      </c>
      <c r="B170" s="1" t="n">
        <v>45576</v>
      </c>
      <c r="C170" s="1" t="n">
        <v>45877</v>
      </c>
      <c r="D170" t="inlineStr">
        <is>
          <t>NORRBOTTENS LÄN</t>
        </is>
      </c>
      <c r="E170" t="inlineStr">
        <is>
          <t>ARJEPLOG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45332-2024</t>
        </is>
      </c>
      <c r="B171" s="1" t="n">
        <v>45576</v>
      </c>
      <c r="C171" s="1" t="n">
        <v>45877</v>
      </c>
      <c r="D171" t="inlineStr">
        <is>
          <t>NORRBOTTENS LÄN</t>
        </is>
      </c>
      <c r="E171" t="inlineStr">
        <is>
          <t>ARJEPLOG</t>
        </is>
      </c>
      <c r="F171" t="inlineStr">
        <is>
          <t>Sveaskog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46910-2024</t>
        </is>
      </c>
      <c r="B172" s="1" t="n">
        <v>45583</v>
      </c>
      <c r="C172" s="1" t="n">
        <v>45877</v>
      </c>
      <c r="D172" t="inlineStr">
        <is>
          <t>NORRBOTTENS LÄN</t>
        </is>
      </c>
      <c r="E172" t="inlineStr">
        <is>
          <t>ARJEPLOG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53822-2024</t>
        </is>
      </c>
      <c r="B173" s="1" t="n">
        <v>45614</v>
      </c>
      <c r="C173" s="1" t="n">
        <v>45877</v>
      </c>
      <c r="D173" t="inlineStr">
        <is>
          <t>NORRBOTTENS LÄN</t>
        </is>
      </c>
      <c r="E173" t="inlineStr">
        <is>
          <t>ARJEPLOG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55124-2024</t>
        </is>
      </c>
      <c r="B174" s="1" t="n">
        <v>45618</v>
      </c>
      <c r="C174" s="1" t="n">
        <v>45877</v>
      </c>
      <c r="D174" t="inlineStr">
        <is>
          <t>NORRBOTTENS LÄN</t>
        </is>
      </c>
      <c r="E174" t="inlineStr">
        <is>
          <t>ARJEPLOG</t>
        </is>
      </c>
      <c r="G174" t="n">
        <v>18.3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55266-2024</t>
        </is>
      </c>
      <c r="B175" s="1" t="n">
        <v>45621</v>
      </c>
      <c r="C175" s="1" t="n">
        <v>45877</v>
      </c>
      <c r="D175" t="inlineStr">
        <is>
          <t>NORRBOTTENS LÄN</t>
        </is>
      </c>
      <c r="E175" t="inlineStr">
        <is>
          <t>ARJEPLOG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56794-2024</t>
        </is>
      </c>
      <c r="B176" s="1" t="n">
        <v>45625</v>
      </c>
      <c r="C176" s="1" t="n">
        <v>45877</v>
      </c>
      <c r="D176" t="inlineStr">
        <is>
          <t>NORRBOTTENS LÄN</t>
        </is>
      </c>
      <c r="E176" t="inlineStr">
        <is>
          <t>ARJEPLOG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56800-2024</t>
        </is>
      </c>
      <c r="B177" s="1" t="n">
        <v>45625</v>
      </c>
      <c r="C177" s="1" t="n">
        <v>45877</v>
      </c>
      <c r="D177" t="inlineStr">
        <is>
          <t>NORRBOTTENS LÄN</t>
        </is>
      </c>
      <c r="E177" t="inlineStr">
        <is>
          <t>ARJEPLOG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56782-2024</t>
        </is>
      </c>
      <c r="B178" s="1" t="n">
        <v>45625</v>
      </c>
      <c r="C178" s="1" t="n">
        <v>45877</v>
      </c>
      <c r="D178" t="inlineStr">
        <is>
          <t>NORRBOTTENS LÄN</t>
        </is>
      </c>
      <c r="E178" t="inlineStr">
        <is>
          <t>ARJEPLOG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56754-2024</t>
        </is>
      </c>
      <c r="B179" s="1" t="n">
        <v>45625</v>
      </c>
      <c r="C179" s="1" t="n">
        <v>45877</v>
      </c>
      <c r="D179" t="inlineStr">
        <is>
          <t>NORRBOTTENS LÄN</t>
        </is>
      </c>
      <c r="E179" t="inlineStr">
        <is>
          <t>ARJEPLOG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58777-2024</t>
        </is>
      </c>
      <c r="B180" s="1" t="n">
        <v>45635</v>
      </c>
      <c r="C180" s="1" t="n">
        <v>45877</v>
      </c>
      <c r="D180" t="inlineStr">
        <is>
          <t>NORRBOTTENS LÄN</t>
        </is>
      </c>
      <c r="E180" t="inlineStr">
        <is>
          <t>ARJEPLOG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58778-2024</t>
        </is>
      </c>
      <c r="B181" s="1" t="n">
        <v>45635</v>
      </c>
      <c r="C181" s="1" t="n">
        <v>45877</v>
      </c>
      <c r="D181" t="inlineStr">
        <is>
          <t>NORRBOTTENS LÄN</t>
        </is>
      </c>
      <c r="E181" t="inlineStr">
        <is>
          <t>ARJEPLOG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58989-2024</t>
        </is>
      </c>
      <c r="B182" s="1" t="n">
        <v>45636</v>
      </c>
      <c r="C182" s="1" t="n">
        <v>45877</v>
      </c>
      <c r="D182" t="inlineStr">
        <is>
          <t>NORRBOTTENS LÄN</t>
        </is>
      </c>
      <c r="E182" t="inlineStr">
        <is>
          <t>ARJEPLOG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61729-2024</t>
        </is>
      </c>
      <c r="B183" s="1" t="n">
        <v>45649</v>
      </c>
      <c r="C183" s="1" t="n">
        <v>45877</v>
      </c>
      <c r="D183" t="inlineStr">
        <is>
          <t>NORRBOTTENS LÄN</t>
        </is>
      </c>
      <c r="E183" t="inlineStr">
        <is>
          <t>ARJEPLOG</t>
        </is>
      </c>
      <c r="F183" t="inlineStr">
        <is>
          <t>Övriga statliga verk och myndigheter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526-2025</t>
        </is>
      </c>
      <c r="B184" s="1" t="n">
        <v>45664</v>
      </c>
      <c r="C184" s="1" t="n">
        <v>45877</v>
      </c>
      <c r="D184" t="inlineStr">
        <is>
          <t>NORRBOTTENS LÄN</t>
        </is>
      </c>
      <c r="E184" t="inlineStr">
        <is>
          <t>ARJEPLOG</t>
        </is>
      </c>
      <c r="F184" t="inlineStr">
        <is>
          <t>Övriga statliga verk och myndigheter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10825-2025</t>
        </is>
      </c>
      <c r="B185" s="1" t="n">
        <v>45722</v>
      </c>
      <c r="C185" s="1" t="n">
        <v>45877</v>
      </c>
      <c r="D185" t="inlineStr">
        <is>
          <t>NORRBOTTENS LÄN</t>
        </is>
      </c>
      <c r="E185" t="inlineStr">
        <is>
          <t>ARJEPLOG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12447-2025</t>
        </is>
      </c>
      <c r="B186" s="1" t="n">
        <v>45730</v>
      </c>
      <c r="C186" s="1" t="n">
        <v>45877</v>
      </c>
      <c r="D186" t="inlineStr">
        <is>
          <t>NORRBOTTENS LÄN</t>
        </is>
      </c>
      <c r="E186" t="inlineStr">
        <is>
          <t>ARJEPLOG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12409-2025</t>
        </is>
      </c>
      <c r="B187" s="1" t="n">
        <v>45730</v>
      </c>
      <c r="C187" s="1" t="n">
        <v>45877</v>
      </c>
      <c r="D187" t="inlineStr">
        <is>
          <t>NORRBOTTENS LÄN</t>
        </is>
      </c>
      <c r="E187" t="inlineStr">
        <is>
          <t>ARJEPLOG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13119-2025</t>
        </is>
      </c>
      <c r="B188" s="1" t="n">
        <v>45734</v>
      </c>
      <c r="C188" s="1" t="n">
        <v>45877</v>
      </c>
      <c r="D188" t="inlineStr">
        <is>
          <t>NORRBOTTENS LÄN</t>
        </is>
      </c>
      <c r="E188" t="inlineStr">
        <is>
          <t>ARJEPLOG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18923-2025</t>
        </is>
      </c>
      <c r="B189" s="1" t="n">
        <v>45764</v>
      </c>
      <c r="C189" s="1" t="n">
        <v>45877</v>
      </c>
      <c r="D189" t="inlineStr">
        <is>
          <t>NORRBOTTENS LÄN</t>
        </is>
      </c>
      <c r="E189" t="inlineStr">
        <is>
          <t>ARJEPLOG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20905-2025</t>
        </is>
      </c>
      <c r="B190" s="1" t="n">
        <v>45777</v>
      </c>
      <c r="C190" s="1" t="n">
        <v>45877</v>
      </c>
      <c r="D190" t="inlineStr">
        <is>
          <t>NORRBOTTENS LÄN</t>
        </is>
      </c>
      <c r="E190" t="inlineStr">
        <is>
          <t>ARJEPLOG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20919-2025</t>
        </is>
      </c>
      <c r="B191" s="1" t="n">
        <v>45777</v>
      </c>
      <c r="C191" s="1" t="n">
        <v>45877</v>
      </c>
      <c r="D191" t="inlineStr">
        <is>
          <t>NORRBOTTENS LÄN</t>
        </is>
      </c>
      <c r="E191" t="inlineStr">
        <is>
          <t>ARJEPLOG</t>
        </is>
      </c>
      <c r="G191" t="n">
        <v>78.40000000000001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20916-2025</t>
        </is>
      </c>
      <c r="B192" s="1" t="n">
        <v>45777</v>
      </c>
      <c r="C192" s="1" t="n">
        <v>45877</v>
      </c>
      <c r="D192" t="inlineStr">
        <is>
          <t>NORRBOTTENS LÄN</t>
        </is>
      </c>
      <c r="E192" t="inlineStr">
        <is>
          <t>ARJEPLOG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20896-2025</t>
        </is>
      </c>
      <c r="B193" s="1" t="n">
        <v>45777</v>
      </c>
      <c r="C193" s="1" t="n">
        <v>45877</v>
      </c>
      <c r="D193" t="inlineStr">
        <is>
          <t>NORRBOTTENS LÄN</t>
        </is>
      </c>
      <c r="E193" t="inlineStr">
        <is>
          <t>ARJEPLOG</t>
        </is>
      </c>
      <c r="G193" t="n">
        <v>45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29667-2025</t>
        </is>
      </c>
      <c r="B194" s="1" t="n">
        <v>45825</v>
      </c>
      <c r="C194" s="1" t="n">
        <v>45877</v>
      </c>
      <c r="D194" t="inlineStr">
        <is>
          <t>NORRBOTTENS LÄN</t>
        </is>
      </c>
      <c r="E194" t="inlineStr">
        <is>
          <t>ARJEPLOG</t>
        </is>
      </c>
      <c r="F194" t="inlineStr">
        <is>
          <t>Allmännings- och besparingsskogar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31104-2025</t>
        </is>
      </c>
      <c r="B195" s="1" t="n">
        <v>45832</v>
      </c>
      <c r="C195" s="1" t="n">
        <v>45877</v>
      </c>
      <c r="D195" t="inlineStr">
        <is>
          <t>NORRBOTTENS LÄN</t>
        </is>
      </c>
      <c r="E195" t="inlineStr">
        <is>
          <t>ARJEPLOG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2025-08-09T01:02:14Z</dcterms:created>
  <dcterms:modified xmlns:dcterms="http://purl.org/dc/terms/" xmlns:xsi="http://www.w3.org/2001/XMLSchema-instance" xsi:type="dcterms:W3CDTF">2025-08-09T01:02:14Z</dcterms:modified>
</cp:coreProperties>
</file>