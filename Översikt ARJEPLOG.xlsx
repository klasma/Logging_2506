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45976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45976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45976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45976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45976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45976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45976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45976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45976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45976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45976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45976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45976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45976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15171-2022</t>
        </is>
      </c>
      <c r="B24" s="1" t="n">
        <v>44658</v>
      </c>
      <c r="C24" s="1" t="n">
        <v>45976</v>
      </c>
      <c r="D24" t="inlineStr">
        <is>
          <t>NORRBOTTENS LÄN</t>
        </is>
      </c>
      <c r="E24" t="inlineStr">
        <is>
          <t>ARJEPLOG</t>
        </is>
      </c>
      <c r="G24" t="n">
        <v>48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Lunglav
Tretåig hackspett</t>
        </is>
      </c>
      <c r="S24">
        <f>HYPERLINK("https://klasma.github.io/Logging_2506/artfynd/A 15171-2022 artfynd.xlsx", "A 15171-2022")</f>
        <v/>
      </c>
      <c r="T24">
        <f>HYPERLINK("https://klasma.github.io/Logging_2506/kartor/A 15171-2022 karta.png", "A 15171-2022")</f>
        <v/>
      </c>
      <c r="V24">
        <f>HYPERLINK("https://klasma.github.io/Logging_2506/klagomål/A 15171-2022 FSC-klagomål.docx", "A 15171-2022")</f>
        <v/>
      </c>
      <c r="W24">
        <f>HYPERLINK("https://klasma.github.io/Logging_2506/klagomålsmail/A 15171-2022 FSC-klagomål mail.docx", "A 15171-2022")</f>
        <v/>
      </c>
      <c r="X24">
        <f>HYPERLINK("https://klasma.github.io/Logging_2506/tillsyn/A 15171-2022 tillsynsbegäran.docx", "A 15171-2022")</f>
        <v/>
      </c>
      <c r="Y24">
        <f>HYPERLINK("https://klasma.github.io/Logging_2506/tillsynsmail/A 15171-2022 tillsynsbegäran mail.docx", "A 15171-2022")</f>
        <v/>
      </c>
      <c r="Z24">
        <f>HYPERLINK("https://klasma.github.io/Logging_2506/fåglar/A 15171-2022 prioriterade fågelarter.docx", "A 15171-2022")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45976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45976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45976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45976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45976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30592-2023</t>
        </is>
      </c>
      <c r="B30" s="1" t="n">
        <v>45112</v>
      </c>
      <c r="C30" s="1" t="n">
        <v>45976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30592-2023 artfynd.xlsx", "A 30592-2023")</f>
        <v/>
      </c>
      <c r="T30">
        <f>HYPERLINK("https://klasma.github.io/Logging_2506/kartor/A 30592-2023 karta.png", "A 30592-2023")</f>
        <v/>
      </c>
      <c r="V30">
        <f>HYPERLINK("https://klasma.github.io/Logging_2506/klagomål/A 30592-2023 FSC-klagomål.docx", "A 30592-2023")</f>
        <v/>
      </c>
      <c r="W30">
        <f>HYPERLINK("https://klasma.github.io/Logging_2506/klagomålsmail/A 30592-2023 FSC-klagomål mail.docx", "A 30592-2023")</f>
        <v/>
      </c>
      <c r="X30">
        <f>HYPERLINK("https://klasma.github.io/Logging_2506/tillsyn/A 30592-2023 tillsynsbegäran.docx", "A 30592-2023")</f>
        <v/>
      </c>
      <c r="Y30">
        <f>HYPERLINK("https://klasma.github.io/Logging_2506/tillsynsmail/A 30592-2023 tillsynsbegäran mail.docx", "A 30592-2023")</f>
        <v/>
      </c>
      <c r="Z30">
        <f>HYPERLINK("https://klasma.github.io/Logging_2506/fåglar/A 30592-2023 prioriterade fågelarter.docx", "A 30592-2023")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45976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45976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45976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45976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45976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45976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45976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45976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45976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45976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45976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45976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45976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45976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45976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45976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45976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45976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45976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45976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45976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64857-2020</t>
        </is>
      </c>
      <c r="B52" s="1" t="n">
        <v>44171</v>
      </c>
      <c r="C52" s="1" t="n">
        <v>45976</v>
      </c>
      <c r="D52" t="inlineStr">
        <is>
          <t>NORRBOTTENS LÄN</t>
        </is>
      </c>
      <c r="E52" t="inlineStr">
        <is>
          <t>ARJEPLOG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45976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45976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27092-2022</t>
        </is>
      </c>
      <c r="B55" s="1" t="n">
        <v>44741</v>
      </c>
      <c r="C55" s="1" t="n">
        <v>45976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36779-2025</t>
        </is>
      </c>
      <c r="B56" s="1" t="n">
        <v>45873</v>
      </c>
      <c r="C56" s="1" t="n">
        <v>45976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61272-2020</t>
        </is>
      </c>
      <c r="B57" s="1" t="n">
        <v>44154</v>
      </c>
      <c r="C57" s="1" t="n">
        <v>45976</v>
      </c>
      <c r="D57" t="inlineStr">
        <is>
          <t>NORRBOTTENS LÄN</t>
        </is>
      </c>
      <c r="E57" t="inlineStr">
        <is>
          <t>ARJEPLOG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45976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54589-2021</t>
        </is>
      </c>
      <c r="B59" s="1" t="n">
        <v>44473</v>
      </c>
      <c r="C59" s="1" t="n">
        <v>45976</v>
      </c>
      <c r="D59" t="inlineStr">
        <is>
          <t>NORRBOTTENS LÄN</t>
        </is>
      </c>
      <c r="E59" t="inlineStr">
        <is>
          <t>ARJEPLOG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37442-2025</t>
        </is>
      </c>
      <c r="B60" s="1" t="n">
        <v>45877.54096064815</v>
      </c>
      <c r="C60" s="1" t="n">
        <v>45976</v>
      </c>
      <c r="D60" t="inlineStr">
        <is>
          <t>NORRBOTTENS LÄN</t>
        </is>
      </c>
      <c r="E60" t="inlineStr">
        <is>
          <t>ARJEPLOG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12447-2025</t>
        </is>
      </c>
      <c r="B61" s="1" t="n">
        <v>45730.48715277778</v>
      </c>
      <c r="C61" s="1" t="n">
        <v>45976</v>
      </c>
      <c r="D61" t="inlineStr">
        <is>
          <t>NORRBOTTENS LÄN</t>
        </is>
      </c>
      <c r="E61" t="inlineStr">
        <is>
          <t>ARJEPLOG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45976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36623-2023</t>
        </is>
      </c>
      <c r="B63" s="1" t="n">
        <v>45153</v>
      </c>
      <c r="C63" s="1" t="n">
        <v>45976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16.9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55266-2024</t>
        </is>
      </c>
      <c r="B64" s="1" t="n">
        <v>45621</v>
      </c>
      <c r="C64" s="1" t="n">
        <v>45976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45976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55422-2021</t>
        </is>
      </c>
      <c r="B66" s="1" t="n">
        <v>44475</v>
      </c>
      <c r="C66" s="1" t="n">
        <v>45976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20789-2022</t>
        </is>
      </c>
      <c r="B67" s="1" t="n">
        <v>44701</v>
      </c>
      <c r="C67" s="1" t="n">
        <v>45976</v>
      </c>
      <c r="D67" t="inlineStr">
        <is>
          <t>NORRBOTTENS LÄN</t>
        </is>
      </c>
      <c r="E67" t="inlineStr">
        <is>
          <t>ARJEPLOG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64837-2023</t>
        </is>
      </c>
      <c r="B68" s="1" t="n">
        <v>45281</v>
      </c>
      <c r="C68" s="1" t="n">
        <v>45976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64840-2023</t>
        </is>
      </c>
      <c r="B69" s="1" t="n">
        <v>45281</v>
      </c>
      <c r="C69" s="1" t="n">
        <v>45976</v>
      </c>
      <c r="D69" t="inlineStr">
        <is>
          <t>NORRBOTTENS LÄN</t>
        </is>
      </c>
      <c r="E69" t="inlineStr">
        <is>
          <t>ARJEPLOG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38851-2025</t>
        </is>
      </c>
      <c r="B70" s="1" t="n">
        <v>45887.55271990741</v>
      </c>
      <c r="C70" s="1" t="n">
        <v>45976</v>
      </c>
      <c r="D70" t="inlineStr">
        <is>
          <t>NORRBOTTENS LÄN</t>
        </is>
      </c>
      <c r="E70" t="inlineStr">
        <is>
          <t>ARJEPLOG</t>
        </is>
      </c>
      <c r="G70" t="n">
        <v>15.2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41061-2024</t>
        </is>
      </c>
      <c r="B71" s="1" t="n">
        <v>45558</v>
      </c>
      <c r="C71" s="1" t="n">
        <v>45976</v>
      </c>
      <c r="D71" t="inlineStr">
        <is>
          <t>NORRBOTTENS LÄN</t>
        </is>
      </c>
      <c r="E71" t="inlineStr">
        <is>
          <t>ARJEPLOG</t>
        </is>
      </c>
      <c r="G71" t="n">
        <v>23.1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26479-2024</t>
        </is>
      </c>
      <c r="B72" s="1" t="n">
        <v>45468</v>
      </c>
      <c r="C72" s="1" t="n">
        <v>45976</v>
      </c>
      <c r="D72" t="inlineStr">
        <is>
          <t>NORRBOTTENS LÄN</t>
        </is>
      </c>
      <c r="E72" t="inlineStr">
        <is>
          <t>ARJEPLOG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48992-2025</t>
        </is>
      </c>
      <c r="B73" s="1" t="n">
        <v>45937.58351851852</v>
      </c>
      <c r="C73" s="1" t="n">
        <v>45976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45976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56785-2024</t>
        </is>
      </c>
      <c r="B75" s="1" t="n">
        <v>45625</v>
      </c>
      <c r="C75" s="1" t="n">
        <v>45976</v>
      </c>
      <c r="D75" t="inlineStr">
        <is>
          <t>NORRBOTTENS LÄN</t>
        </is>
      </c>
      <c r="E75" t="inlineStr">
        <is>
          <t>ARJEPLOG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48987-2025</t>
        </is>
      </c>
      <c r="B76" s="1" t="n">
        <v>45937.5759837963</v>
      </c>
      <c r="C76" s="1" t="n">
        <v>45976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45976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35627-2025</t>
        </is>
      </c>
      <c r="B78" s="1" t="n">
        <v>45859</v>
      </c>
      <c r="C78" s="1" t="n">
        <v>45976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56800-2024</t>
        </is>
      </c>
      <c r="B79" s="1" t="n">
        <v>45625</v>
      </c>
      <c r="C79" s="1" t="n">
        <v>45976</v>
      </c>
      <c r="D79" t="inlineStr">
        <is>
          <t>NORRBOTTENS LÄN</t>
        </is>
      </c>
      <c r="E79" t="inlineStr">
        <is>
          <t>ARJEPLOG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45976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64816-2023</t>
        </is>
      </c>
      <c r="B81" s="1" t="n">
        <v>45281</v>
      </c>
      <c r="C81" s="1" t="n">
        <v>45976</v>
      </c>
      <c r="D81" t="inlineStr">
        <is>
          <t>NORRBOTTENS LÄN</t>
        </is>
      </c>
      <c r="E81" t="inlineStr">
        <is>
          <t>ARJEPLOG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3006-2024</t>
        </is>
      </c>
      <c r="B82" s="1" t="n">
        <v>45315</v>
      </c>
      <c r="C82" s="1" t="n">
        <v>45976</v>
      </c>
      <c r="D82" t="inlineStr">
        <is>
          <t>NORRBOTTENS LÄN</t>
        </is>
      </c>
      <c r="E82" t="inlineStr">
        <is>
          <t>ARJEPLOG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14375-2021</t>
        </is>
      </c>
      <c r="B83" s="1" t="n">
        <v>44279</v>
      </c>
      <c r="C83" s="1" t="n">
        <v>45976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60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28354-2022</t>
        </is>
      </c>
      <c r="B84" s="1" t="n">
        <v>44735</v>
      </c>
      <c r="C84" s="1" t="n">
        <v>45976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58989-2024</t>
        </is>
      </c>
      <c r="B85" s="1" t="n">
        <v>45636</v>
      </c>
      <c r="C85" s="1" t="n">
        <v>45976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42518-2025</t>
        </is>
      </c>
      <c r="B86" s="1" t="n">
        <v>45905</v>
      </c>
      <c r="C86" s="1" t="n">
        <v>45976</v>
      </c>
      <c r="D86" t="inlineStr">
        <is>
          <t>NORRBOTTENS LÄN</t>
        </is>
      </c>
      <c r="E86" t="inlineStr">
        <is>
          <t>ARJEPLOG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42325-2025</t>
        </is>
      </c>
      <c r="B87" s="1" t="n">
        <v>45903</v>
      </c>
      <c r="C87" s="1" t="n">
        <v>45976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42331-2025</t>
        </is>
      </c>
      <c r="B88" s="1" t="n">
        <v>45903</v>
      </c>
      <c r="C88" s="1" t="n">
        <v>45976</v>
      </c>
      <c r="D88" t="inlineStr">
        <is>
          <t>NORRBOTTENS LÄN</t>
        </is>
      </c>
      <c r="E88" t="inlineStr">
        <is>
          <t>ARJEPLOG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42597-2025</t>
        </is>
      </c>
      <c r="B89" s="1" t="n">
        <v>45905</v>
      </c>
      <c r="C89" s="1" t="n">
        <v>45976</v>
      </c>
      <c r="D89" t="inlineStr">
        <is>
          <t>NORRBOTTENS LÄN</t>
        </is>
      </c>
      <c r="E89" t="inlineStr">
        <is>
          <t>ARJEPLOG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42526-2025</t>
        </is>
      </c>
      <c r="B90" s="1" t="n">
        <v>45905</v>
      </c>
      <c r="C90" s="1" t="n">
        <v>45976</v>
      </c>
      <c r="D90" t="inlineStr">
        <is>
          <t>NORRBOTTENS LÄN</t>
        </is>
      </c>
      <c r="E90" t="inlineStr">
        <is>
          <t>ARJEPLOG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56794-2024</t>
        </is>
      </c>
      <c r="B91" s="1" t="n">
        <v>45625</v>
      </c>
      <c r="C91" s="1" t="n">
        <v>45976</v>
      </c>
      <c r="D91" t="inlineStr">
        <is>
          <t>NORRBOTTENS LÄN</t>
        </is>
      </c>
      <c r="E91" t="inlineStr">
        <is>
          <t>ARJEPLOG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56782-2024</t>
        </is>
      </c>
      <c r="B92" s="1" t="n">
        <v>45625</v>
      </c>
      <c r="C92" s="1" t="n">
        <v>45976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526-2025</t>
        </is>
      </c>
      <c r="B93" s="1" t="n">
        <v>45664</v>
      </c>
      <c r="C93" s="1" t="n">
        <v>45976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73880-2021</t>
        </is>
      </c>
      <c r="B94" s="1" t="n">
        <v>44552</v>
      </c>
      <c r="C94" s="1" t="n">
        <v>45976</v>
      </c>
      <c r="D94" t="inlineStr">
        <is>
          <t>NORRBOTTENS LÄN</t>
        </is>
      </c>
      <c r="E94" t="inlineStr">
        <is>
          <t>ARJEPLOG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45976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26472-2024</t>
        </is>
      </c>
      <c r="B96" s="1" t="n">
        <v>45469</v>
      </c>
      <c r="C96" s="1" t="n">
        <v>45976</v>
      </c>
      <c r="D96" t="inlineStr">
        <is>
          <t>NORRBOTTENS LÄN</t>
        </is>
      </c>
      <c r="E96" t="inlineStr">
        <is>
          <t>ARJEPLOG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26486-2024</t>
        </is>
      </c>
      <c r="B97" s="1" t="n">
        <v>45469</v>
      </c>
      <c r="C97" s="1" t="n">
        <v>45976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25928-2024</t>
        </is>
      </c>
      <c r="B98" s="1" t="n">
        <v>45467</v>
      </c>
      <c r="C98" s="1" t="n">
        <v>45976</v>
      </c>
      <c r="D98" t="inlineStr">
        <is>
          <t>NORRBOTTENS LÄN</t>
        </is>
      </c>
      <c r="E98" t="inlineStr">
        <is>
          <t>ARJEPLOG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23949-2024</t>
        </is>
      </c>
      <c r="B99" s="1" t="n">
        <v>45455</v>
      </c>
      <c r="C99" s="1" t="n">
        <v>45976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44218-2023</t>
        </is>
      </c>
      <c r="B100" s="1" t="n">
        <v>45183</v>
      </c>
      <c r="C100" s="1" t="n">
        <v>45976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48376-2023</t>
        </is>
      </c>
      <c r="B101" s="1" t="n">
        <v>45205</v>
      </c>
      <c r="C101" s="1" t="n">
        <v>45976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Aktiebolag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45976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56754-2024</t>
        </is>
      </c>
      <c r="B103" s="1" t="n">
        <v>45625</v>
      </c>
      <c r="C103" s="1" t="n">
        <v>45976</v>
      </c>
      <c r="D103" t="inlineStr">
        <is>
          <t>NORRBOTTENS LÄN</t>
        </is>
      </c>
      <c r="E103" t="inlineStr">
        <is>
          <t>ARJEPLOG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56276-2021</t>
        </is>
      </c>
      <c r="B104" s="1" t="n">
        <v>44479</v>
      </c>
      <c r="C104" s="1" t="n">
        <v>45976</v>
      </c>
      <c r="D104" t="inlineStr">
        <is>
          <t>NORRBOTTENS LÄN</t>
        </is>
      </c>
      <c r="E104" t="inlineStr">
        <is>
          <t>ARJEPLOG</t>
        </is>
      </c>
      <c r="G104" t="n">
        <v>19.8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30870-2023</t>
        </is>
      </c>
      <c r="B105" s="1" t="n">
        <v>45113</v>
      </c>
      <c r="C105" s="1" t="n">
        <v>45976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53246-2025</t>
        </is>
      </c>
      <c r="B106" s="1" t="n">
        <v>45958.64807870371</v>
      </c>
      <c r="C106" s="1" t="n">
        <v>45976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13119-2025</t>
        </is>
      </c>
      <c r="B107" s="1" t="n">
        <v>45734</v>
      </c>
      <c r="C107" s="1" t="n">
        <v>45976</v>
      </c>
      <c r="D107" t="inlineStr">
        <is>
          <t>NORRBOTTENS LÄN</t>
        </is>
      </c>
      <c r="E107" t="inlineStr">
        <is>
          <t>ARJEPLOG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45976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20905-2025</t>
        </is>
      </c>
      <c r="B109" s="1" t="n">
        <v>45777.40407407407</v>
      </c>
      <c r="C109" s="1" t="n">
        <v>45976</v>
      </c>
      <c r="D109" t="inlineStr">
        <is>
          <t>NORRBOTTENS LÄN</t>
        </is>
      </c>
      <c r="E109" t="inlineStr">
        <is>
          <t>ARJEPLOG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44943-2025</t>
        </is>
      </c>
      <c r="B110" s="1" t="n">
        <v>45918</v>
      </c>
      <c r="C110" s="1" t="n">
        <v>45976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64822-2023</t>
        </is>
      </c>
      <c r="B111" s="1" t="n">
        <v>45281</v>
      </c>
      <c r="C111" s="1" t="n">
        <v>45976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26811-2022</t>
        </is>
      </c>
      <c r="B112" s="1" t="n">
        <v>44735</v>
      </c>
      <c r="C112" s="1" t="n">
        <v>45976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29649-2024</t>
        </is>
      </c>
      <c r="B113" s="1" t="n">
        <v>45484</v>
      </c>
      <c r="C113" s="1" t="n">
        <v>45976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45976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45976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10825-2025</t>
        </is>
      </c>
      <c r="B116" s="1" t="n">
        <v>45722</v>
      </c>
      <c r="C116" s="1" t="n">
        <v>45976</v>
      </c>
      <c r="D116" t="inlineStr">
        <is>
          <t>NORRBOTTENS LÄN</t>
        </is>
      </c>
      <c r="E116" t="inlineStr">
        <is>
          <t>ARJEPLOG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46747-2025</t>
        </is>
      </c>
      <c r="B117" s="1" t="n">
        <v>45926</v>
      </c>
      <c r="C117" s="1" t="n">
        <v>45976</v>
      </c>
      <c r="D117" t="inlineStr">
        <is>
          <t>NORRBOTTENS LÄN</t>
        </is>
      </c>
      <c r="E117" t="inlineStr">
        <is>
          <t>ARJEPLOG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43045-2022</t>
        </is>
      </c>
      <c r="B118" s="1" t="n">
        <v>44833</v>
      </c>
      <c r="C118" s="1" t="n">
        <v>45976</v>
      </c>
      <c r="D118" t="inlineStr">
        <is>
          <t>NORRBOTTENS LÄN</t>
        </is>
      </c>
      <c r="E118" t="inlineStr">
        <is>
          <t>ARJEPLOG</t>
        </is>
      </c>
      <c r="G118" t="n">
        <v>24.6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43045-2022</t>
        </is>
      </c>
      <c r="B119" s="1" t="n">
        <v>44833</v>
      </c>
      <c r="C119" s="1" t="n">
        <v>45976</v>
      </c>
      <c r="D119" t="inlineStr">
        <is>
          <t>NORRBOTTENS LÄN</t>
        </is>
      </c>
      <c r="E119" t="inlineStr">
        <is>
          <t>ARJEPLOG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45976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55570-2025</t>
        </is>
      </c>
      <c r="B121" s="1" t="n">
        <v>45971.65667824074</v>
      </c>
      <c r="C121" s="1" t="n">
        <v>45976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64809-2023</t>
        </is>
      </c>
      <c r="B122" s="1" t="n">
        <v>45281</v>
      </c>
      <c r="C122" s="1" t="n">
        <v>45976</v>
      </c>
      <c r="D122" t="inlineStr">
        <is>
          <t>NORRBOTTENS LÄN</t>
        </is>
      </c>
      <c r="E122" t="inlineStr">
        <is>
          <t>ARJEPLOG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64826-2023</t>
        </is>
      </c>
      <c r="B123" s="1" t="n">
        <v>45281</v>
      </c>
      <c r="C123" s="1" t="n">
        <v>45976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17536-2023</t>
        </is>
      </c>
      <c r="B124" s="1" t="n">
        <v>45034</v>
      </c>
      <c r="C124" s="1" t="n">
        <v>45976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45976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52581-2022</t>
        </is>
      </c>
      <c r="B126" s="1" t="n">
        <v>44874</v>
      </c>
      <c r="C126" s="1" t="n">
        <v>45976</v>
      </c>
      <c r="D126" t="inlineStr">
        <is>
          <t>NORRBOTTENS LÄN</t>
        </is>
      </c>
      <c r="E126" t="inlineStr">
        <is>
          <t>ARJEPLOG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45976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45976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45976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29667-2025</t>
        </is>
      </c>
      <c r="B130" s="1" t="n">
        <v>45825</v>
      </c>
      <c r="C130" s="1" t="n">
        <v>45976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25275-2023</t>
        </is>
      </c>
      <c r="B131" s="1" t="n">
        <v>45079</v>
      </c>
      <c r="C131" s="1" t="n">
        <v>45976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31104-2025</t>
        </is>
      </c>
      <c r="B132" s="1" t="n">
        <v>45832.60090277778</v>
      </c>
      <c r="C132" s="1" t="n">
        <v>45976</v>
      </c>
      <c r="D132" t="inlineStr">
        <is>
          <t>NORRBOTTENS LÄN</t>
        </is>
      </c>
      <c r="E132" t="inlineStr">
        <is>
          <t>ARJEPLOG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45976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25559-2022</t>
        </is>
      </c>
      <c r="B134" s="1" t="n">
        <v>44732</v>
      </c>
      <c r="C134" s="1" t="n">
        <v>45976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64832-2023</t>
        </is>
      </c>
      <c r="B135" s="1" t="n">
        <v>45281</v>
      </c>
      <c r="C135" s="1" t="n">
        <v>45976</v>
      </c>
      <c r="D135" t="inlineStr">
        <is>
          <t>NORRBOTTENS LÄN</t>
        </is>
      </c>
      <c r="E135" t="inlineStr">
        <is>
          <t>ARJEPLOG</t>
        </is>
      </c>
      <c r="G135" t="n">
        <v>43.6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45976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30595-2025</t>
        </is>
      </c>
      <c r="B137" s="1" t="n">
        <v>45831</v>
      </c>
      <c r="C137" s="1" t="n">
        <v>45976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30606-2025</t>
        </is>
      </c>
      <c r="B138" s="1" t="n">
        <v>45831</v>
      </c>
      <c r="C138" s="1" t="n">
        <v>45976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70.40000000000001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45976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29662-2025</t>
        </is>
      </c>
      <c r="B140" s="1" t="n">
        <v>45825</v>
      </c>
      <c r="C140" s="1" t="n">
        <v>45976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12409-2025</t>
        </is>
      </c>
      <c r="B141" s="1" t="n">
        <v>45730.43366898148</v>
      </c>
      <c r="C141" s="1" t="n">
        <v>45976</v>
      </c>
      <c r="D141" t="inlineStr">
        <is>
          <t>NORRBOTTENS LÄN</t>
        </is>
      </c>
      <c r="E141" t="inlineStr">
        <is>
          <t>ARJEPLOG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26773-2022</t>
        </is>
      </c>
      <c r="B142" s="1" t="n">
        <v>44732</v>
      </c>
      <c r="C142" s="1" t="n">
        <v>45976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2025-11-15T10:13:27Z</dcterms:created>
  <dcterms:modified xmlns:dcterms="http://purl.org/dc/terms/" xmlns:xsi="http://www.w3.org/2001/XMLSchema-instance" xsi:type="dcterms:W3CDTF">2025-11-15T10:13:27Z</dcterms:modified>
</cp:coreProperties>
</file>