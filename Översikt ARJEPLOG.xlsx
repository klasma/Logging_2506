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46001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46001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46001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46001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46001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46001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26954-2022</t>
        </is>
      </c>
      <c r="B8" s="1" t="n">
        <v>44740</v>
      </c>
      <c r="C8" s="1" t="n">
        <v>46001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10.4</v>
      </c>
      <c r="H8" t="n">
        <v>2</v>
      </c>
      <c r="I8" t="n">
        <v>0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Blanksvart spiklav
Blå taggsvamp
Granticka
Gropig brunbagge
Ladlav
Nordtagging
Orange taggsvamp
Tretåig hackspett
Vedflamlav
Vedskivlav
Vanlig padda</t>
        </is>
      </c>
      <c r="S8">
        <f>HYPERLINK("https://klasma.github.io/Logging_2506/artfynd/A 26954-2022 artfynd.xlsx", "A 26954-2022")</f>
        <v/>
      </c>
      <c r="T8">
        <f>HYPERLINK("https://klasma.github.io/Logging_2506/kartor/A 26954-2022 karta.png", "A 26954-2022")</f>
        <v/>
      </c>
      <c r="V8">
        <f>HYPERLINK("https://klasma.github.io/Logging_2506/klagomål/A 26954-2022 FSC-klagomål.docx", "A 26954-2022")</f>
        <v/>
      </c>
      <c r="W8">
        <f>HYPERLINK("https://klasma.github.io/Logging_2506/klagomålsmail/A 26954-2022 FSC-klagomål mail.docx", "A 26954-2022")</f>
        <v/>
      </c>
      <c r="X8">
        <f>HYPERLINK("https://klasma.github.io/Logging_2506/tillsyn/A 26954-2022 tillsynsbegäran.docx", "A 26954-2022")</f>
        <v/>
      </c>
      <c r="Y8">
        <f>HYPERLINK("https://klasma.github.io/Logging_2506/tillsynsmail/A 26954-2022 tillsynsbegäran mail.docx", "A 26954-2022")</f>
        <v/>
      </c>
      <c r="Z8">
        <f>HYPERLINK("https://klasma.github.io/Logging_2506/fåglar/A 26954-2022 prioriterade fågelarter.docx", "A 26954-2022")</f>
        <v/>
      </c>
    </row>
    <row r="9" ht="15" customHeight="1">
      <c r="A9" t="inlineStr">
        <is>
          <t>A 45417-2024</t>
        </is>
      </c>
      <c r="B9" s="1" t="n">
        <v>45576</v>
      </c>
      <c r="C9" s="1" t="n">
        <v>46001</v>
      </c>
      <c r="D9" t="inlineStr">
        <is>
          <t>NORRBOTTENS LÄN</t>
        </is>
      </c>
      <c r="E9" t="inlineStr">
        <is>
          <t>ARJEPLOG</t>
        </is>
      </c>
      <c r="G9" t="n">
        <v>11.5</v>
      </c>
      <c r="H9" t="n">
        <v>2</v>
      </c>
      <c r="I9" t="n">
        <v>0</v>
      </c>
      <c r="J9" t="n">
        <v>11</v>
      </c>
      <c r="K9" t="n">
        <v>0</v>
      </c>
      <c r="L9" t="n">
        <v>0</v>
      </c>
      <c r="M9" t="n">
        <v>0</v>
      </c>
      <c r="N9" t="n">
        <v>0</v>
      </c>
      <c r="O9" t="n">
        <v>11</v>
      </c>
      <c r="P9" t="n">
        <v>0</v>
      </c>
      <c r="Q9" t="n">
        <v>11</v>
      </c>
      <c r="R9" s="2" t="inlineStr">
        <is>
          <t>Blanksvart spiklav
Dvärgbägarlav
Granticka
Knottrig blåslav
Kortskaftad ärgspik
Rosenticka
Talltita
Tretåig hackspett
Ullticka
Vedskivlav
Vedtrappmossa</t>
        </is>
      </c>
      <c r="S9">
        <f>HYPERLINK("https://klasma.github.io/Logging_2506/artfynd/A 45417-2024 artfynd.xlsx", "A 45417-2024")</f>
        <v/>
      </c>
      <c r="T9">
        <f>HYPERLINK("https://klasma.github.io/Logging_2506/kartor/A 45417-2024 karta.png", "A 45417-2024")</f>
        <v/>
      </c>
      <c r="V9">
        <f>HYPERLINK("https://klasma.github.io/Logging_2506/klagomål/A 45417-2024 FSC-klagomål.docx", "A 45417-2024")</f>
        <v/>
      </c>
      <c r="W9">
        <f>HYPERLINK("https://klasma.github.io/Logging_2506/klagomålsmail/A 45417-2024 FSC-klagomål mail.docx", "A 45417-2024")</f>
        <v/>
      </c>
      <c r="X9">
        <f>HYPERLINK("https://klasma.github.io/Logging_2506/tillsyn/A 45417-2024 tillsynsbegäran.docx", "A 45417-2024")</f>
        <v/>
      </c>
      <c r="Y9">
        <f>HYPERLINK("https://klasma.github.io/Logging_2506/tillsynsmail/A 45417-2024 tillsynsbegäran mail.docx", "A 45417-2024")</f>
        <v/>
      </c>
      <c r="Z9">
        <f>HYPERLINK("https://klasma.github.io/Logging_2506/fåglar/A 45417-2024 prioriterade fågelarter.docx", "A 45417-2024")</f>
        <v/>
      </c>
    </row>
    <row r="10" ht="15" customHeight="1">
      <c r="A10" t="inlineStr">
        <is>
          <t>A 31143-2025</t>
        </is>
      </c>
      <c r="B10" s="1" t="n">
        <v>45831</v>
      </c>
      <c r="C10" s="1" t="n">
        <v>46001</v>
      </c>
      <c r="D10" t="inlineStr">
        <is>
          <t>NORRBOTTENS LÄN</t>
        </is>
      </c>
      <c r="E10" t="inlineStr">
        <is>
          <t>ARJEPLOG</t>
        </is>
      </c>
      <c r="G10" t="n">
        <v>16.4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Fläckporing
Garnlav
Granticka
Gränsticka
Knottrig blåslav
Rosenticka
Talltita
Tretåig hackspett
Vedskivlav
Vitgrynig nållav</t>
        </is>
      </c>
      <c r="S10">
        <f>HYPERLINK("https://klasma.github.io/Logging_2506/artfynd/A 31143-2025 artfynd.xlsx", "A 31143-2025")</f>
        <v/>
      </c>
      <c r="T10">
        <f>HYPERLINK("https://klasma.github.io/Logging_2506/kartor/A 31143-2025 karta.png", "A 31143-2025")</f>
        <v/>
      </c>
      <c r="V10">
        <f>HYPERLINK("https://klasma.github.io/Logging_2506/klagomål/A 31143-2025 FSC-klagomål.docx", "A 31143-2025")</f>
        <v/>
      </c>
      <c r="W10">
        <f>HYPERLINK("https://klasma.github.io/Logging_2506/klagomålsmail/A 31143-2025 FSC-klagomål mail.docx", "A 31143-2025")</f>
        <v/>
      </c>
      <c r="X10">
        <f>HYPERLINK("https://klasma.github.io/Logging_2506/tillsyn/A 31143-2025 tillsynsbegäran.docx", "A 31143-2025")</f>
        <v/>
      </c>
      <c r="Y10">
        <f>HYPERLINK("https://klasma.github.io/Logging_2506/tillsynsmail/A 31143-2025 tillsynsbegäran mail.docx", "A 31143-2025")</f>
        <v/>
      </c>
      <c r="Z10">
        <f>HYPERLINK("https://klasma.github.io/Logging_2506/fåglar/A 31143-2025 prioriterade fågelarter.docx", "A 31143-2025")</f>
        <v/>
      </c>
    </row>
    <row r="11" ht="15" customHeight="1">
      <c r="A11" t="inlineStr">
        <is>
          <t>A 28351-2025</t>
        </is>
      </c>
      <c r="B11" s="1" t="n">
        <v>45818</v>
      </c>
      <c r="C11" s="1" t="n">
        <v>46001</v>
      </c>
      <c r="D11" t="inlineStr">
        <is>
          <t>NORRBOTTENS LÄN</t>
        </is>
      </c>
      <c r="E11" t="inlineStr">
        <is>
          <t>ARJEPLOG</t>
        </is>
      </c>
      <c r="G11" t="n">
        <v>5.4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Fläckporing
Blanksvart spiklav
Dvärgbägarlav
Garnlav
Granticka
Ullticka
Vedflamlav
Vedskivlav
Dropptaggsvamp</t>
        </is>
      </c>
      <c r="S11">
        <f>HYPERLINK("https://klasma.github.io/Logging_2506/artfynd/A 28351-2025 artfynd.xlsx", "A 28351-2025")</f>
        <v/>
      </c>
      <c r="T11">
        <f>HYPERLINK("https://klasma.github.io/Logging_2506/kartor/A 28351-2025 karta.png", "A 28351-2025")</f>
        <v/>
      </c>
      <c r="V11">
        <f>HYPERLINK("https://klasma.github.io/Logging_2506/klagomål/A 28351-2025 FSC-klagomål.docx", "A 28351-2025")</f>
        <v/>
      </c>
      <c r="W11">
        <f>HYPERLINK("https://klasma.github.io/Logging_2506/klagomålsmail/A 28351-2025 FSC-klagomål mail.docx", "A 28351-2025")</f>
        <v/>
      </c>
      <c r="X11">
        <f>HYPERLINK("https://klasma.github.io/Logging_2506/tillsyn/A 28351-2025 tillsynsbegäran.docx", "A 28351-2025")</f>
        <v/>
      </c>
      <c r="Y11">
        <f>HYPERLINK("https://klasma.github.io/Logging_2506/tillsynsmail/A 28351-2025 tillsynsbegäran mail.docx", "A 28351-2025")</f>
        <v/>
      </c>
    </row>
    <row r="12" ht="15" customHeight="1">
      <c r="A12" t="inlineStr">
        <is>
          <t>A 2256-2025</t>
        </is>
      </c>
      <c r="B12" s="1" t="n">
        <v>45671</v>
      </c>
      <c r="C12" s="1" t="n">
        <v>46001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17.9</v>
      </c>
      <c r="H12" t="n">
        <v>7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9</v>
      </c>
      <c r="R12" s="2" t="inlineStr">
        <is>
          <t>Månlåsbräken
Nordlåsbräken
Grönkulla
Korallrot
Spindelblomster
Buskmus
Brudsporre
Fläcknycklar
Fjällummer</t>
        </is>
      </c>
      <c r="S12">
        <f>HYPERLINK("https://klasma.github.io/Logging_2506/artfynd/A 2256-2025 artfynd.xlsx", "A 2256-2025")</f>
        <v/>
      </c>
      <c r="T12">
        <f>HYPERLINK("https://klasma.github.io/Logging_2506/kartor/A 2256-2025 karta.png", "A 2256-2025")</f>
        <v/>
      </c>
      <c r="V12">
        <f>HYPERLINK("https://klasma.github.io/Logging_2506/klagomål/A 2256-2025 FSC-klagomål.docx", "A 2256-2025")</f>
        <v/>
      </c>
      <c r="W12">
        <f>HYPERLINK("https://klasma.github.io/Logging_2506/klagomålsmail/A 2256-2025 FSC-klagomål mail.docx", "A 2256-2025")</f>
        <v/>
      </c>
      <c r="X12">
        <f>HYPERLINK("https://klasma.github.io/Logging_2506/tillsyn/A 2256-2025 tillsynsbegäran.docx", "A 2256-2025")</f>
        <v/>
      </c>
      <c r="Y12">
        <f>HYPERLINK("https://klasma.github.io/Logging_2506/tillsynsmail/A 2256-2025 tillsynsbegäran mail.docx", "A 2256-2025")</f>
        <v/>
      </c>
    </row>
    <row r="13" ht="15" customHeight="1">
      <c r="A13" t="inlineStr">
        <is>
          <t>A 48673-2023</t>
        </is>
      </c>
      <c r="B13" s="1" t="n">
        <v>45203</v>
      </c>
      <c r="C13" s="1" t="n">
        <v>46001</v>
      </c>
      <c r="D13" t="inlineStr">
        <is>
          <t>NORRBOTTENS LÄN</t>
        </is>
      </c>
      <c r="E13" t="inlineStr">
        <is>
          <t>ARJEPLOG</t>
        </is>
      </c>
      <c r="G13" t="n">
        <v>32.7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Rynkskinn
Garnlav
Granticka
Gränsticka
Harticka
Lunglav
Rosenticka
Ullticka</t>
        </is>
      </c>
      <c r="S13">
        <f>HYPERLINK("https://klasma.github.io/Logging_2506/artfynd/A 48673-2023 artfynd.xlsx", "A 48673-2023")</f>
        <v/>
      </c>
      <c r="T13">
        <f>HYPERLINK("https://klasma.github.io/Logging_2506/kartor/A 48673-2023 karta.png", "A 48673-2023")</f>
        <v/>
      </c>
      <c r="V13">
        <f>HYPERLINK("https://klasma.github.io/Logging_2506/klagomål/A 48673-2023 FSC-klagomål.docx", "A 48673-2023")</f>
        <v/>
      </c>
      <c r="W13">
        <f>HYPERLINK("https://klasma.github.io/Logging_2506/klagomålsmail/A 48673-2023 FSC-klagomål mail.docx", "A 48673-2023")</f>
        <v/>
      </c>
      <c r="X13">
        <f>HYPERLINK("https://klasma.github.io/Logging_2506/tillsyn/A 48673-2023 tillsynsbegäran.docx", "A 48673-2023")</f>
        <v/>
      </c>
      <c r="Y13">
        <f>HYPERLINK("https://klasma.github.io/Logging_2506/tillsynsmail/A 48673-2023 tillsynsbegäran mail.docx", "A 48673-2023")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46001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46001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46001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46001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46001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46001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46001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46001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46001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46001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14684-2021</t>
        </is>
      </c>
      <c r="B24" s="1" t="n">
        <v>44280</v>
      </c>
      <c r="C24" s="1" t="n">
        <v>46001</v>
      </c>
      <c r="D24" t="inlineStr">
        <is>
          <t>NORRBOTTENS LÄN</t>
        </is>
      </c>
      <c r="E24" t="inlineStr">
        <is>
          <t>ARJEPLOG</t>
        </is>
      </c>
      <c r="G24" t="n">
        <v>26.6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Tretåig hackspett
Ullticka</t>
        </is>
      </c>
      <c r="S24">
        <f>HYPERLINK("https://klasma.github.io/Logging_2506/artfynd/A 14684-2021 artfynd.xlsx", "A 14684-2021")</f>
        <v/>
      </c>
      <c r="T24">
        <f>HYPERLINK("https://klasma.github.io/Logging_2506/kartor/A 14684-2021 karta.png", "A 14684-2021")</f>
        <v/>
      </c>
      <c r="V24">
        <f>HYPERLINK("https://klasma.github.io/Logging_2506/klagomål/A 14684-2021 FSC-klagomål.docx", "A 14684-2021")</f>
        <v/>
      </c>
      <c r="W24">
        <f>HYPERLINK("https://klasma.github.io/Logging_2506/klagomålsmail/A 14684-2021 FSC-klagomål mail.docx", "A 14684-2021")</f>
        <v/>
      </c>
      <c r="X24">
        <f>HYPERLINK("https://klasma.github.io/Logging_2506/tillsyn/A 14684-2021 tillsynsbegäran.docx", "A 14684-2021")</f>
        <v/>
      </c>
      <c r="Y24">
        <f>HYPERLINK("https://klasma.github.io/Logging_2506/tillsynsmail/A 14684-2021 tillsynsbegäran mail.docx", "A 14684-2021")</f>
        <v/>
      </c>
      <c r="Z24">
        <f>HYPERLINK("https://klasma.github.io/Logging_2506/fåglar/A 14684-2021 prioriterade fågelarter.docx", "A 14684-2021")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46001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46001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45030-2023</t>
        </is>
      </c>
      <c r="B27" s="1" t="n">
        <v>45190</v>
      </c>
      <c r="C27" s="1" t="n">
        <v>46001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45030-2023 artfynd.xlsx", "A 45030-2023")</f>
        <v/>
      </c>
      <c r="T27">
        <f>HYPERLINK("https://klasma.github.io/Logging_2506/kartor/A 45030-2023 karta.png", "A 45030-2023")</f>
        <v/>
      </c>
      <c r="V27">
        <f>HYPERLINK("https://klasma.github.io/Logging_2506/klagomål/A 45030-2023 FSC-klagomål.docx", "A 45030-2023")</f>
        <v/>
      </c>
      <c r="W27">
        <f>HYPERLINK("https://klasma.github.io/Logging_2506/klagomålsmail/A 45030-2023 FSC-klagomål mail.docx", "A 45030-2023")</f>
        <v/>
      </c>
      <c r="X27">
        <f>HYPERLINK("https://klasma.github.io/Logging_2506/tillsyn/A 45030-2023 tillsynsbegäran.docx", "A 45030-2023")</f>
        <v/>
      </c>
      <c r="Y27">
        <f>HYPERLINK("https://klasma.github.io/Logging_2506/tillsynsmail/A 45030-2023 tillsynsbegäran mail.docx", "A 45030-2023")</f>
        <v/>
      </c>
    </row>
    <row r="28" ht="15" customHeight="1">
      <c r="A28" t="inlineStr">
        <is>
          <t>A 45779-2024</t>
        </is>
      </c>
      <c r="B28" s="1" t="n">
        <v>45579</v>
      </c>
      <c r="C28" s="1" t="n">
        <v>46001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Ullticka</t>
        </is>
      </c>
      <c r="S28">
        <f>HYPERLINK("https://klasma.github.io/Logging_2506/artfynd/A 45779-2024 artfynd.xlsx", "A 45779-2024")</f>
        <v/>
      </c>
      <c r="T28">
        <f>HYPERLINK("https://klasma.github.io/Logging_2506/kartor/A 45779-2024 karta.png", "A 45779-2024")</f>
        <v/>
      </c>
      <c r="V28">
        <f>HYPERLINK("https://klasma.github.io/Logging_2506/klagomål/A 45779-2024 FSC-klagomål.docx", "A 45779-2024")</f>
        <v/>
      </c>
      <c r="W28">
        <f>HYPERLINK("https://klasma.github.io/Logging_2506/klagomålsmail/A 45779-2024 FSC-klagomål mail.docx", "A 45779-2024")</f>
        <v/>
      </c>
      <c r="X28">
        <f>HYPERLINK("https://klasma.github.io/Logging_2506/tillsyn/A 45779-2024 tillsynsbegäran.docx", "A 45779-2024")</f>
        <v/>
      </c>
      <c r="Y28">
        <f>HYPERLINK("https://klasma.github.io/Logging_2506/tillsynsmail/A 45779-2024 tillsynsbegäran mail.docx", "A 45779-2024")</f>
        <v/>
      </c>
    </row>
    <row r="29" ht="15" customHeight="1">
      <c r="A29" t="inlineStr">
        <is>
          <t>A 45324-2022</t>
        </is>
      </c>
      <c r="B29" s="1" t="n">
        <v>44841</v>
      </c>
      <c r="C29" s="1" t="n">
        <v>46001</v>
      </c>
      <c r="D29" t="inlineStr">
        <is>
          <t>NORRBOTTENS LÄN</t>
        </is>
      </c>
      <c r="E29" t="inlineStr">
        <is>
          <t>ARJEPLOG</t>
        </is>
      </c>
      <c r="G29" t="n">
        <v>23.2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Bergand</t>
        </is>
      </c>
      <c r="S29">
        <f>HYPERLINK("https://klasma.github.io/Logging_2506/artfynd/A 45324-2022 artfynd.xlsx", "A 45324-2022")</f>
        <v/>
      </c>
      <c r="T29">
        <f>HYPERLINK("https://klasma.github.io/Logging_2506/kartor/A 45324-2022 karta.png", "A 45324-2022")</f>
        <v/>
      </c>
      <c r="V29">
        <f>HYPERLINK("https://klasma.github.io/Logging_2506/klagomål/A 45324-2022 FSC-klagomål.docx", "A 45324-2022")</f>
        <v/>
      </c>
      <c r="W29">
        <f>HYPERLINK("https://klasma.github.io/Logging_2506/klagomålsmail/A 45324-2022 FSC-klagomål mail.docx", "A 45324-2022")</f>
        <v/>
      </c>
      <c r="X29">
        <f>HYPERLINK("https://klasma.github.io/Logging_2506/tillsyn/A 45324-2022 tillsynsbegäran.docx", "A 45324-2022")</f>
        <v/>
      </c>
      <c r="Y29">
        <f>HYPERLINK("https://klasma.github.io/Logging_2506/tillsynsmail/A 45324-2022 tillsynsbegäran mail.docx", "A 45324-2022")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46001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46001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46001</v>
      </c>
      <c r="D32" t="inlineStr">
        <is>
          <t>NORRBOTTENS LÄN</t>
        </is>
      </c>
      <c r="E32" t="inlineStr">
        <is>
          <t>ARJEPLOG</t>
        </is>
      </c>
      <c r="G32" t="n">
        <v>21.6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46001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46001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41375-2024</t>
        </is>
      </c>
      <c r="B35" s="1" t="n">
        <v>45559</v>
      </c>
      <c r="C35" s="1" t="n">
        <v>46001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HYPERLINK("https://klasma.github.io/Logging_2506/artfynd/A 41375-2024 artfynd.xlsx", "A 41375-2024")</f>
        <v/>
      </c>
      <c r="T35">
        <f>HYPERLINK("https://klasma.github.io/Logging_2506/kartor/A 41375-2024 karta.png", "A 41375-2024")</f>
        <v/>
      </c>
      <c r="V35">
        <f>HYPERLINK("https://klasma.github.io/Logging_2506/klagomål/A 41375-2024 FSC-klagomål.docx", "A 41375-2024")</f>
        <v/>
      </c>
      <c r="W35">
        <f>HYPERLINK("https://klasma.github.io/Logging_2506/klagomålsmail/A 41375-2024 FSC-klagomål mail.docx", "A 41375-2024")</f>
        <v/>
      </c>
      <c r="X35">
        <f>HYPERLINK("https://klasma.github.io/Logging_2506/tillsyn/A 41375-2024 tillsynsbegäran.docx", "A 41375-2024")</f>
        <v/>
      </c>
      <c r="Y35">
        <f>HYPERLINK("https://klasma.github.io/Logging_2506/tillsynsmail/A 41375-2024 tillsynsbegäran mail.docx", "A 41375-2024")</f>
        <v/>
      </c>
    </row>
    <row r="36" ht="15" customHeight="1">
      <c r="A36" t="inlineStr">
        <is>
          <t>A 66844-2021</t>
        </is>
      </c>
      <c r="B36" s="1" t="n">
        <v>44520</v>
      </c>
      <c r="C36" s="1" t="n">
        <v>46001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46001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46001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46001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46001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46001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46001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46001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46001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19620-2022</t>
        </is>
      </c>
      <c r="B45" s="1" t="n">
        <v>44694</v>
      </c>
      <c r="C45" s="1" t="n">
        <v>46001</v>
      </c>
      <c r="D45" t="inlineStr">
        <is>
          <t>NORRBOTTENS LÄN</t>
        </is>
      </c>
      <c r="E45" t="inlineStr">
        <is>
          <t>ARJEPLOG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72279-2021</t>
        </is>
      </c>
      <c r="B46" s="1" t="n">
        <v>44543</v>
      </c>
      <c r="C46" s="1" t="n">
        <v>46001</v>
      </c>
      <c r="D46" t="inlineStr">
        <is>
          <t>NORRBOTTENS LÄN</t>
        </is>
      </c>
      <c r="E46" t="inlineStr">
        <is>
          <t>ARJEPLOG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46001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58879-2021</t>
        </is>
      </c>
      <c r="B48" s="1" t="n">
        <v>44489</v>
      </c>
      <c r="C48" s="1" t="n">
        <v>46001</v>
      </c>
      <c r="D48" t="inlineStr">
        <is>
          <t>NORRBOTTENS LÄN</t>
        </is>
      </c>
      <c r="E48" t="inlineStr">
        <is>
          <t>ARJEPLOG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8727-2021</t>
        </is>
      </c>
      <c r="B49" s="1" t="n">
        <v>44246</v>
      </c>
      <c r="C49" s="1" t="n">
        <v>46001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46001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46001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46001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46001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46001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46001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56276-2021</t>
        </is>
      </c>
      <c r="B56" s="1" t="n">
        <v>44479</v>
      </c>
      <c r="C56" s="1" t="n">
        <v>46001</v>
      </c>
      <c r="D56" t="inlineStr">
        <is>
          <t>NORRBOTTENS LÄN</t>
        </is>
      </c>
      <c r="E56" t="inlineStr">
        <is>
          <t>ARJEPLOG</t>
        </is>
      </c>
      <c r="G56" t="n">
        <v>19.8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20905-2025</t>
        </is>
      </c>
      <c r="B57" s="1" t="n">
        <v>45777.40407407407</v>
      </c>
      <c r="C57" s="1" t="n">
        <v>46001</v>
      </c>
      <c r="D57" t="inlineStr">
        <is>
          <t>NORRBOTTENS LÄN</t>
        </is>
      </c>
      <c r="E57" t="inlineStr">
        <is>
          <t>ARJEPLOG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13119-2025</t>
        </is>
      </c>
      <c r="B58" s="1" t="n">
        <v>45734</v>
      </c>
      <c r="C58" s="1" t="n">
        <v>46001</v>
      </c>
      <c r="D58" t="inlineStr">
        <is>
          <t>NORRBOTTENS LÄN</t>
        </is>
      </c>
      <c r="E58" t="inlineStr">
        <is>
          <t>ARJEPLOG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26103-2024</t>
        </is>
      </c>
      <c r="B59" s="1" t="n">
        <v>45467</v>
      </c>
      <c r="C59" s="1" t="n">
        <v>46001</v>
      </c>
      <c r="D59" t="inlineStr">
        <is>
          <t>NORRBOTTENS LÄN</t>
        </is>
      </c>
      <c r="E59" t="inlineStr">
        <is>
          <t>ARJEPLOG</t>
        </is>
      </c>
      <c r="G59" t="n">
        <v>17.2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38851-2025</t>
        </is>
      </c>
      <c r="B60" s="1" t="n">
        <v>45887.55271990741</v>
      </c>
      <c r="C60" s="1" t="n">
        <v>46001</v>
      </c>
      <c r="D60" t="inlineStr">
        <is>
          <t>NORRBOTTENS LÄN</t>
        </is>
      </c>
      <c r="E60" t="inlineStr">
        <is>
          <t>ARJEPLOG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64826-2023</t>
        </is>
      </c>
      <c r="B61" s="1" t="n">
        <v>45281</v>
      </c>
      <c r="C61" s="1" t="n">
        <v>46001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35627-2025</t>
        </is>
      </c>
      <c r="B62" s="1" t="n">
        <v>45859</v>
      </c>
      <c r="C62" s="1" t="n">
        <v>46001</v>
      </c>
      <c r="D62" t="inlineStr">
        <is>
          <t>NORRBOTTENS LÄN</t>
        </is>
      </c>
      <c r="E62" t="inlineStr">
        <is>
          <t>ARJEPLOG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35194-2024</t>
        </is>
      </c>
      <c r="B63" s="1" t="n">
        <v>45530</v>
      </c>
      <c r="C63" s="1" t="n">
        <v>46001</v>
      </c>
      <c r="D63" t="inlineStr">
        <is>
          <t>NORRBOTTENS LÄN</t>
        </is>
      </c>
      <c r="E63" t="inlineStr">
        <is>
          <t>ARJEPLOG</t>
        </is>
      </c>
      <c r="G63" t="n">
        <v>20.1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46001</v>
      </c>
      <c r="D64" t="inlineStr">
        <is>
          <t>NORRBOTTENS LÄN</t>
        </is>
      </c>
      <c r="E64" t="inlineStr">
        <is>
          <t>ARJEPLOG</t>
        </is>
      </c>
      <c r="G64" t="n">
        <v>24.6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43045-2022</t>
        </is>
      </c>
      <c r="B65" s="1" t="n">
        <v>44833</v>
      </c>
      <c r="C65" s="1" t="n">
        <v>46001</v>
      </c>
      <c r="D65" t="inlineStr">
        <is>
          <t>NORRBOTTENS LÄN</t>
        </is>
      </c>
      <c r="E65" t="inlineStr">
        <is>
          <t>ARJEPLOG</t>
        </is>
      </c>
      <c r="G65" t="n">
        <v>23.2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526-2025</t>
        </is>
      </c>
      <c r="B66" s="1" t="n">
        <v>45664</v>
      </c>
      <c r="C66" s="1" t="n">
        <v>46001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46001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46001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64832-2023</t>
        </is>
      </c>
      <c r="B69" s="1" t="n">
        <v>45281</v>
      </c>
      <c r="C69" s="1" t="n">
        <v>46001</v>
      </c>
      <c r="D69" t="inlineStr">
        <is>
          <t>NORRBOTTENS LÄN</t>
        </is>
      </c>
      <c r="E69" t="inlineStr">
        <is>
          <t>ARJEPLOG</t>
        </is>
      </c>
      <c r="G69" t="n">
        <v>43.6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42331-2025</t>
        </is>
      </c>
      <c r="B70" s="1" t="n">
        <v>45903</v>
      </c>
      <c r="C70" s="1" t="n">
        <v>46001</v>
      </c>
      <c r="D70" t="inlineStr">
        <is>
          <t>NORRBOTTENS LÄN</t>
        </is>
      </c>
      <c r="E70" t="inlineStr">
        <is>
          <t>ARJEPLOG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36623-2023</t>
        </is>
      </c>
      <c r="B71" s="1" t="n">
        <v>45153</v>
      </c>
      <c r="C71" s="1" t="n">
        <v>46001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16.9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42518-2025</t>
        </is>
      </c>
      <c r="B72" s="1" t="n">
        <v>45905</v>
      </c>
      <c r="C72" s="1" t="n">
        <v>46001</v>
      </c>
      <c r="D72" t="inlineStr">
        <is>
          <t>NORRBOTTENS LÄN</t>
        </is>
      </c>
      <c r="E72" t="inlineStr">
        <is>
          <t>ARJEPLOG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42597-2025</t>
        </is>
      </c>
      <c r="B73" s="1" t="n">
        <v>45905</v>
      </c>
      <c r="C73" s="1" t="n">
        <v>46001</v>
      </c>
      <c r="D73" t="inlineStr">
        <is>
          <t>NORRBOTTENS LÄN</t>
        </is>
      </c>
      <c r="E73" t="inlineStr">
        <is>
          <t>ARJEPLOG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42526-2025</t>
        </is>
      </c>
      <c r="B74" s="1" t="n">
        <v>45905</v>
      </c>
      <c r="C74" s="1" t="n">
        <v>46001</v>
      </c>
      <c r="D74" t="inlineStr">
        <is>
          <t>NORRBOTTENS LÄN</t>
        </is>
      </c>
      <c r="E74" t="inlineStr">
        <is>
          <t>ARJEPLOG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73880-2021</t>
        </is>
      </c>
      <c r="B75" s="1" t="n">
        <v>44552</v>
      </c>
      <c r="C75" s="1" t="n">
        <v>46001</v>
      </c>
      <c r="D75" t="inlineStr">
        <is>
          <t>NORRBOTTENS LÄN</t>
        </is>
      </c>
      <c r="E75" t="inlineStr">
        <is>
          <t>ARJEPLOG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29667-2025</t>
        </is>
      </c>
      <c r="B76" s="1" t="n">
        <v>45825</v>
      </c>
      <c r="C76" s="1" t="n">
        <v>46001</v>
      </c>
      <c r="D76" t="inlineStr">
        <is>
          <t>NORRBOTTENS LÄN</t>
        </is>
      </c>
      <c r="E76" t="inlineStr">
        <is>
          <t>ARJEPLOG</t>
        </is>
      </c>
      <c r="F76" t="inlineStr">
        <is>
          <t>Allmännings- och besparingsskogar</t>
        </is>
      </c>
      <c r="G76" t="n">
        <v>20.1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31104-2025</t>
        </is>
      </c>
      <c r="B77" s="1" t="n">
        <v>45832.60090277778</v>
      </c>
      <c r="C77" s="1" t="n">
        <v>46001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25275-2023</t>
        </is>
      </c>
      <c r="B78" s="1" t="n">
        <v>45079</v>
      </c>
      <c r="C78" s="1" t="n">
        <v>46001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22.7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46001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23949-2024</t>
        </is>
      </c>
      <c r="B80" s="1" t="n">
        <v>45455</v>
      </c>
      <c r="C80" s="1" t="n">
        <v>46001</v>
      </c>
      <c r="D80" t="inlineStr">
        <is>
          <t>NORRBOTTENS LÄN</t>
        </is>
      </c>
      <c r="E80" t="inlineStr">
        <is>
          <t>ARJEPLOG</t>
        </is>
      </c>
      <c r="F80" t="inlineStr">
        <is>
          <t>SCA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55422-2021</t>
        </is>
      </c>
      <c r="B81" s="1" t="n">
        <v>44475</v>
      </c>
      <c r="C81" s="1" t="n">
        <v>46001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48940-2023</t>
        </is>
      </c>
      <c r="B82" s="1" t="n">
        <v>45205</v>
      </c>
      <c r="C82" s="1" t="n">
        <v>46001</v>
      </c>
      <c r="D82" t="inlineStr">
        <is>
          <t>NORRBOTTENS LÄN</t>
        </is>
      </c>
      <c r="E82" t="inlineStr">
        <is>
          <t>ARJEPLOG</t>
        </is>
      </c>
      <c r="G82" t="n">
        <v>13.5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50255-2023</t>
        </is>
      </c>
      <c r="B83" s="1" t="n">
        <v>45216</v>
      </c>
      <c r="C83" s="1" t="n">
        <v>46001</v>
      </c>
      <c r="D83" t="inlineStr">
        <is>
          <t>NORRBOTTENS LÄN</t>
        </is>
      </c>
      <c r="E83" t="inlineStr">
        <is>
          <t>ARJEPLOG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25559-2022</t>
        </is>
      </c>
      <c r="B84" s="1" t="n">
        <v>44732</v>
      </c>
      <c r="C84" s="1" t="n">
        <v>46001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39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46001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46001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46001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55570-2025</t>
        </is>
      </c>
      <c r="B88" s="1" t="n">
        <v>45971.65667824074</v>
      </c>
      <c r="C88" s="1" t="n">
        <v>46001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10.6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29662-2025</t>
        </is>
      </c>
      <c r="B89" s="1" t="n">
        <v>45825</v>
      </c>
      <c r="C89" s="1" t="n">
        <v>46001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29674-2025</t>
        </is>
      </c>
      <c r="B90" s="1" t="n">
        <v>45825</v>
      </c>
      <c r="C90" s="1" t="n">
        <v>46001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25.1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46001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53822-2024</t>
        </is>
      </c>
      <c r="B92" s="1" t="n">
        <v>45614</v>
      </c>
      <c r="C92" s="1" t="n">
        <v>46001</v>
      </c>
      <c r="D92" t="inlineStr">
        <is>
          <t>NORRBOTTENS LÄN</t>
        </is>
      </c>
      <c r="E92" t="inlineStr">
        <is>
          <t>ARJEPLOG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36779-2025</t>
        </is>
      </c>
      <c r="B93" s="1" t="n">
        <v>45873</v>
      </c>
      <c r="C93" s="1" t="n">
        <v>46001</v>
      </c>
      <c r="D93" t="inlineStr">
        <is>
          <t>NORRBOTTENS LÄN</t>
        </is>
      </c>
      <c r="E93" t="inlineStr">
        <is>
          <t>ARJEPLOG</t>
        </is>
      </c>
      <c r="G93" t="n">
        <v>17.2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46001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48987-2025</t>
        </is>
      </c>
      <c r="B95" s="1" t="n">
        <v>45937.5759837963</v>
      </c>
      <c r="C95" s="1" t="n">
        <v>46001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17536-2023</t>
        </is>
      </c>
      <c r="B96" s="1" t="n">
        <v>45034</v>
      </c>
      <c r="C96" s="1" t="n">
        <v>46001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46001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37442-2025</t>
        </is>
      </c>
      <c r="B98" s="1" t="n">
        <v>45877.54096064815</v>
      </c>
      <c r="C98" s="1" t="n">
        <v>46001</v>
      </c>
      <c r="D98" t="inlineStr">
        <is>
          <t>NORRBOTTENS LÄN</t>
        </is>
      </c>
      <c r="E98" t="inlineStr">
        <is>
          <t>ARJEPLOG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10825-2025</t>
        </is>
      </c>
      <c r="B99" s="1" t="n">
        <v>45722</v>
      </c>
      <c r="C99" s="1" t="n">
        <v>46001</v>
      </c>
      <c r="D99" t="inlineStr">
        <is>
          <t>NORRBOTTENS LÄN</t>
        </is>
      </c>
      <c r="E99" t="inlineStr">
        <is>
          <t>ARJEPLOG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61729-2024</t>
        </is>
      </c>
      <c r="B100" s="1" t="n">
        <v>45649</v>
      </c>
      <c r="C100" s="1" t="n">
        <v>46001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29649-2024</t>
        </is>
      </c>
      <c r="B101" s="1" t="n">
        <v>45484</v>
      </c>
      <c r="C101" s="1" t="n">
        <v>46001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24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45072-2023</t>
        </is>
      </c>
      <c r="B102" s="1" t="n">
        <v>45187</v>
      </c>
      <c r="C102" s="1" t="n">
        <v>46001</v>
      </c>
      <c r="D102" t="inlineStr">
        <is>
          <t>NORRBOTTENS LÄN</t>
        </is>
      </c>
      <c r="E102" t="inlineStr">
        <is>
          <t>ARJEPLOG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25270-2023</t>
        </is>
      </c>
      <c r="B103" s="1" t="n">
        <v>45079</v>
      </c>
      <c r="C103" s="1" t="n">
        <v>46001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59887-2025</t>
        </is>
      </c>
      <c r="B104" s="1" t="n">
        <v>45993.32416666667</v>
      </c>
      <c r="C104" s="1" t="n">
        <v>46001</v>
      </c>
      <c r="D104" t="inlineStr">
        <is>
          <t>NORRBOTTENS LÄN</t>
        </is>
      </c>
      <c r="E104" t="inlineStr">
        <is>
          <t>ARJEPLOG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25239-2023</t>
        </is>
      </c>
      <c r="B105" s="1" t="n">
        <v>45079</v>
      </c>
      <c r="C105" s="1" t="n">
        <v>46001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46001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54589-2021</t>
        </is>
      </c>
      <c r="B107" s="1" t="n">
        <v>44473</v>
      </c>
      <c r="C107" s="1" t="n">
        <v>46001</v>
      </c>
      <c r="D107" t="inlineStr">
        <is>
          <t>NORRBOTTENS LÄN</t>
        </is>
      </c>
      <c r="E107" t="inlineStr">
        <is>
          <t>ARJEPLOG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53246-2025</t>
        </is>
      </c>
      <c r="B108" s="1" t="n">
        <v>45958.64807870371</v>
      </c>
      <c r="C108" s="1" t="n">
        <v>46001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36.7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60766-2025</t>
        </is>
      </c>
      <c r="B109" s="1" t="n">
        <v>45999.38688657407</v>
      </c>
      <c r="C109" s="1" t="n">
        <v>46001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60767-2025</t>
        </is>
      </c>
      <c r="B110" s="1" t="n">
        <v>45999.3869212963</v>
      </c>
      <c r="C110" s="1" t="n">
        <v>46001</v>
      </c>
      <c r="D110" t="inlineStr">
        <is>
          <t>NORRBOTTENS LÄN</t>
        </is>
      </c>
      <c r="E110" t="inlineStr">
        <is>
          <t>ARJEPLOG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3006-2024</t>
        </is>
      </c>
      <c r="B111" s="1" t="n">
        <v>45315</v>
      </c>
      <c r="C111" s="1" t="n">
        <v>46001</v>
      </c>
      <c r="D111" t="inlineStr">
        <is>
          <t>NORRBOTTENS LÄN</t>
        </is>
      </c>
      <c r="E111" t="inlineStr">
        <is>
          <t>ARJEPLOG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25440-2024</t>
        </is>
      </c>
      <c r="B112" s="1" t="n">
        <v>45463</v>
      </c>
      <c r="C112" s="1" t="n">
        <v>46001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30.7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26470-2024</t>
        </is>
      </c>
      <c r="B113" s="1" t="n">
        <v>45468</v>
      </c>
      <c r="C113" s="1" t="n">
        <v>46001</v>
      </c>
      <c r="D113" t="inlineStr">
        <is>
          <t>NORRBOTTENS LÄN</t>
        </is>
      </c>
      <c r="E113" t="inlineStr">
        <is>
          <t>ARJEPLOG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14375-2021</t>
        </is>
      </c>
      <c r="B114" s="1" t="n">
        <v>44279</v>
      </c>
      <c r="C114" s="1" t="n">
        <v>46001</v>
      </c>
      <c r="D114" t="inlineStr">
        <is>
          <t>NORRBOTTENS LÄN</t>
        </is>
      </c>
      <c r="E114" t="inlineStr">
        <is>
          <t>ARJEPLOG</t>
        </is>
      </c>
      <c r="F114" t="inlineStr">
        <is>
          <t>Övriga statliga verk och myndigheter</t>
        </is>
      </c>
      <c r="G114" t="n">
        <v>60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56754-2024</t>
        </is>
      </c>
      <c r="B115" s="1" t="n">
        <v>45625</v>
      </c>
      <c r="C115" s="1" t="n">
        <v>46001</v>
      </c>
      <c r="D115" t="inlineStr">
        <is>
          <t>NORRBOTTENS LÄN</t>
        </is>
      </c>
      <c r="E115" t="inlineStr">
        <is>
          <t>ARJEPLOG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56800-2024</t>
        </is>
      </c>
      <c r="B116" s="1" t="n">
        <v>45625</v>
      </c>
      <c r="C116" s="1" t="n">
        <v>46001</v>
      </c>
      <c r="D116" t="inlineStr">
        <is>
          <t>NORRBOTTENS LÄN</t>
        </is>
      </c>
      <c r="E116" t="inlineStr">
        <is>
          <t>ARJEPLOG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56782-2024</t>
        </is>
      </c>
      <c r="B117" s="1" t="n">
        <v>45625</v>
      </c>
      <c r="C117" s="1" t="n">
        <v>46001</v>
      </c>
      <c r="D117" t="inlineStr">
        <is>
          <t>NORRBOTTENS LÄN</t>
        </is>
      </c>
      <c r="E117" t="inlineStr">
        <is>
          <t>ARJEPLOG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56794-2024</t>
        </is>
      </c>
      <c r="B118" s="1" t="n">
        <v>45625</v>
      </c>
      <c r="C118" s="1" t="n">
        <v>46001</v>
      </c>
      <c r="D118" t="inlineStr">
        <is>
          <t>NORRBOTTENS LÄN</t>
        </is>
      </c>
      <c r="E118" t="inlineStr">
        <is>
          <t>ARJEPLOG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25928-2024</t>
        </is>
      </c>
      <c r="B119" s="1" t="n">
        <v>45467</v>
      </c>
      <c r="C119" s="1" t="n">
        <v>46001</v>
      </c>
      <c r="D119" t="inlineStr">
        <is>
          <t>NORRBOTTENS LÄN</t>
        </is>
      </c>
      <c r="E119" t="inlineStr">
        <is>
          <t>ARJEPLOG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46001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12409-2025</t>
        </is>
      </c>
      <c r="B121" s="1" t="n">
        <v>45730.43366898148</v>
      </c>
      <c r="C121" s="1" t="n">
        <v>46001</v>
      </c>
      <c r="D121" t="inlineStr">
        <is>
          <t>NORRBOTTENS LÄN</t>
        </is>
      </c>
      <c r="E121" t="inlineStr">
        <is>
          <t>ARJEPLOG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26811-2022</t>
        </is>
      </c>
      <c r="B122" s="1" t="n">
        <v>44735</v>
      </c>
      <c r="C122" s="1" t="n">
        <v>46001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44218-2023</t>
        </is>
      </c>
      <c r="B123" s="1" t="n">
        <v>45183</v>
      </c>
      <c r="C123" s="1" t="n">
        <v>46001</v>
      </c>
      <c r="D123" t="inlineStr">
        <is>
          <t>NORRBOTTENS LÄN</t>
        </is>
      </c>
      <c r="E123" t="inlineStr">
        <is>
          <t>ARJEPLOG</t>
        </is>
      </c>
      <c r="F123" t="inlineStr">
        <is>
          <t>Allmännings- och besparingsskogar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64837-2023</t>
        </is>
      </c>
      <c r="B124" s="1" t="n">
        <v>45281</v>
      </c>
      <c r="C124" s="1" t="n">
        <v>46001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64840-2023</t>
        </is>
      </c>
      <c r="B125" s="1" t="n">
        <v>45281</v>
      </c>
      <c r="C125" s="1" t="n">
        <v>46001</v>
      </c>
      <c r="D125" t="inlineStr">
        <is>
          <t>NORRBOTTENS LÄN</t>
        </is>
      </c>
      <c r="E125" t="inlineStr">
        <is>
          <t>ARJEPLOG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64816-2023</t>
        </is>
      </c>
      <c r="B126" s="1" t="n">
        <v>45281</v>
      </c>
      <c r="C126" s="1" t="n">
        <v>46001</v>
      </c>
      <c r="D126" t="inlineStr">
        <is>
          <t>NORRBOTTENS LÄN</t>
        </is>
      </c>
      <c r="E126" t="inlineStr">
        <is>
          <t>ARJEPLOG</t>
        </is>
      </c>
      <c r="G126" t="n">
        <v>13.4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26479-2024</t>
        </is>
      </c>
      <c r="B127" s="1" t="n">
        <v>45468</v>
      </c>
      <c r="C127" s="1" t="n">
        <v>46001</v>
      </c>
      <c r="D127" t="inlineStr">
        <is>
          <t>NORRBOTTENS LÄN</t>
        </is>
      </c>
      <c r="E127" t="inlineStr">
        <is>
          <t>ARJEPLOG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46001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46910-2024</t>
        </is>
      </c>
      <c r="B129" s="1" t="n">
        <v>45583</v>
      </c>
      <c r="C129" s="1" t="n">
        <v>46001</v>
      </c>
      <c r="D129" t="inlineStr">
        <is>
          <t>NORRBOTTENS LÄN</t>
        </is>
      </c>
      <c r="E129" t="inlineStr">
        <is>
          <t>ARJEPLOG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30870-2023</t>
        </is>
      </c>
      <c r="B130" s="1" t="n">
        <v>45113</v>
      </c>
      <c r="C130" s="1" t="n">
        <v>46001</v>
      </c>
      <c r="D130" t="inlineStr">
        <is>
          <t>NORRBOTTENS LÄN</t>
        </is>
      </c>
      <c r="E130" t="inlineStr">
        <is>
          <t>ARJEPLOG</t>
        </is>
      </c>
      <c r="F130" t="inlineStr">
        <is>
          <t>Allmännings- och besparingsskogar</t>
        </is>
      </c>
      <c r="G130" t="n">
        <v>25.5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46001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58370-2023</t>
        </is>
      </c>
      <c r="B132" s="1" t="n">
        <v>45250</v>
      </c>
      <c r="C132" s="1" t="n">
        <v>46001</v>
      </c>
      <c r="D132" t="inlineStr">
        <is>
          <t>NORRBOTTENS LÄN</t>
        </is>
      </c>
      <c r="E132" t="inlineStr">
        <is>
          <t>ARJEPLOG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26472-2024</t>
        </is>
      </c>
      <c r="B133" s="1" t="n">
        <v>45469</v>
      </c>
      <c r="C133" s="1" t="n">
        <v>46001</v>
      </c>
      <c r="D133" t="inlineStr">
        <is>
          <t>NORRBOTTENS LÄN</t>
        </is>
      </c>
      <c r="E133" t="inlineStr">
        <is>
          <t>ARJEPLOG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26486-2024</t>
        </is>
      </c>
      <c r="B134" s="1" t="n">
        <v>45469</v>
      </c>
      <c r="C134" s="1" t="n">
        <v>46001</v>
      </c>
      <c r="D134" t="inlineStr">
        <is>
          <t>NORRBOTTENS LÄN</t>
        </is>
      </c>
      <c r="E134" t="inlineStr">
        <is>
          <t>ARJEPLOG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55266-2024</t>
        </is>
      </c>
      <c r="B135" s="1" t="n">
        <v>45621</v>
      </c>
      <c r="C135" s="1" t="n">
        <v>46001</v>
      </c>
      <c r="D135" t="inlineStr">
        <is>
          <t>NORRBOTTENS LÄN</t>
        </is>
      </c>
      <c r="E135" t="inlineStr">
        <is>
          <t>ARJEPLOG</t>
        </is>
      </c>
      <c r="G135" t="n">
        <v>11.3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20789-2022</t>
        </is>
      </c>
      <c r="B136" s="1" t="n">
        <v>44701</v>
      </c>
      <c r="C136" s="1" t="n">
        <v>46001</v>
      </c>
      <c r="D136" t="inlineStr">
        <is>
          <t>NORRBOTTENS LÄN</t>
        </is>
      </c>
      <c r="E136" t="inlineStr">
        <is>
          <t>ARJEPLOG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26773-2022</t>
        </is>
      </c>
      <c r="B137" s="1" t="n">
        <v>44732</v>
      </c>
      <c r="C137" s="1" t="n">
        <v>46001</v>
      </c>
      <c r="D137" t="inlineStr">
        <is>
          <t>NORRBOTTENS LÄN</t>
        </is>
      </c>
      <c r="E137" t="inlineStr">
        <is>
          <t>ARJEPLOG</t>
        </is>
      </c>
      <c r="F137" t="inlineStr">
        <is>
          <t>Övriga statliga verk och myndigheter</t>
        </is>
      </c>
      <c r="G137" t="n">
        <v>34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62801-2023</t>
        </is>
      </c>
      <c r="B138" s="1" t="n">
        <v>45268</v>
      </c>
      <c r="C138" s="1" t="n">
        <v>46001</v>
      </c>
      <c r="D138" t="inlineStr">
        <is>
          <t>NORRBOTTENS LÄN</t>
        </is>
      </c>
      <c r="E138" t="inlineStr">
        <is>
          <t>ARJEPLOG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41061-2024</t>
        </is>
      </c>
      <c r="B139" s="1" t="n">
        <v>45558</v>
      </c>
      <c r="C139" s="1" t="n">
        <v>46001</v>
      </c>
      <c r="D139" t="inlineStr">
        <is>
          <t>NORRBOTTENS LÄN</t>
        </is>
      </c>
      <c r="E139" t="inlineStr">
        <is>
          <t>ARJEPLOG</t>
        </is>
      </c>
      <c r="G139" t="n">
        <v>23.1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42274-2022</t>
        </is>
      </c>
      <c r="B140" s="1" t="n">
        <v>44830</v>
      </c>
      <c r="C140" s="1" t="n">
        <v>46001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12447-2025</t>
        </is>
      </c>
      <c r="B141" s="1" t="n">
        <v>45730.48715277778</v>
      </c>
      <c r="C141" s="1" t="n">
        <v>46001</v>
      </c>
      <c r="D141" t="inlineStr">
        <is>
          <t>NORRBOTTENS LÄN</t>
        </is>
      </c>
      <c r="E141" t="inlineStr">
        <is>
          <t>ARJEPLOG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2025-12-10T10:26:37Z</dcterms:created>
  <dcterms:modified xmlns:dcterms="http://purl.org/dc/terms/" xmlns:xsi="http://www.w3.org/2001/XMLSchema-instance" xsi:type="dcterms:W3CDTF">2025-12-10T10:26:37Z</dcterms:modified>
</cp:coreProperties>
</file>