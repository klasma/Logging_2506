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46299</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46299</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46299</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46299</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46299</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46299</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46299</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46299</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46299</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46299</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46299</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46299</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38453-2026</t>
        </is>
      </c>
      <c r="B14" t="inlineStr">
        <is>
          <t>avverkningsanmälan</t>
        </is>
      </c>
      <c r="C14" t="inlineStr">
        <is>
          <t>Föryngringsavverkning</t>
        </is>
      </c>
      <c r="D14" s="1" t="n">
        <v>46282</v>
      </c>
      <c r="E14" s="1" t="n">
        <v>46299</v>
      </c>
      <c r="F14" t="inlineStr">
        <is>
          <t>NORRBOTTENS LÄN</t>
        </is>
      </c>
      <c r="G14" t="inlineStr">
        <is>
          <t>ARJEPLOG</t>
        </is>
      </c>
      <c r="I14" t="n">
        <v>13</v>
      </c>
      <c r="J14" t="n">
        <v>4</v>
      </c>
      <c r="K14" t="n">
        <v>3</v>
      </c>
      <c r="L14" t="n">
        <v>15</v>
      </c>
      <c r="M14" t="n">
        <v>3</v>
      </c>
      <c r="N14" t="n">
        <v>0</v>
      </c>
      <c r="O14" t="n">
        <v>0</v>
      </c>
      <c r="P14" t="n">
        <v>0</v>
      </c>
      <c r="Q14" t="n">
        <v>18</v>
      </c>
      <c r="R14" t="n">
        <v>3</v>
      </c>
      <c r="S14" t="n">
        <v>22</v>
      </c>
      <c r="T14" t="n">
        <v>38</v>
      </c>
      <c r="U14" t="n">
        <v>0</v>
      </c>
      <c r="V1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4">
        <f>HYPERLINK("https://klasma.github.io/Logging_2506/artfynd/A 38453-2026 artfynd.xlsx", "A 38453-2026")</f>
        <v/>
      </c>
      <c r="X14">
        <f>HYPERLINK("https://klasma.github.io/Logging_2506/kartor/A 38453-2026 karta.png", "A 38453-2026")</f>
        <v/>
      </c>
      <c r="Y14">
        <f>HYPERLINK("https://klasma.github.io/Logging_2506/kartor_geotiff/A 38453-2026 georefererad karta.tif", "A 38453-2026")</f>
        <v/>
      </c>
      <c r="AA14">
        <f>HYPERLINK("https://klasma.github.io/Logging_2506/klagomål/A 38453-2026 FSC-klagomål.docx", "A 38453-2026")</f>
        <v/>
      </c>
      <c r="AB14">
        <f>HYPERLINK("https://klasma.github.io/Logging_2506/klagomålsmail/A 38453-2026 FSC-klagomål mail.docx", "A 38453-2026")</f>
        <v/>
      </c>
      <c r="AC14">
        <f>HYPERLINK("https://klasma.github.io/Logging_2506/tillsyn/A 38453-2026 tillsynsbegäran.docx", "A 38453-2026")</f>
        <v/>
      </c>
      <c r="AD14">
        <f>HYPERLINK("https://klasma.github.io/Logging_2506/tillsynsmail/A 38453-2026 tillsynsbegäran mail.docx", "A 38453-2026")</f>
        <v/>
      </c>
      <c r="AE14">
        <f>HYPERLINK("https://klasma.github.io/Logging_2506/fåglar/A 38453-2026 prioriterade fågelarter.docx", "A 38453-2026")</f>
        <v/>
      </c>
    </row>
    <row r="15" ht="15" customHeight="1">
      <c r="A15" t="inlineStr">
        <is>
          <t>A 64817-2023</t>
        </is>
      </c>
      <c r="B15" t="inlineStr">
        <is>
          <t>avverkningsanmälan</t>
        </is>
      </c>
      <c r="C15" t="inlineStr">
        <is>
          <t>Föryngringsavverkning</t>
        </is>
      </c>
      <c r="D15" s="1" t="n">
        <v>45281</v>
      </c>
      <c r="E15" s="1" t="n">
        <v>46299</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46299</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46299</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46299</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46299</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46299</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46299</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46299</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46299</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46299</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46299</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46299</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46299</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46299</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46299</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46299</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46299</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46299</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46299</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46299</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46299</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46299</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15171-2022</t>
        </is>
      </c>
      <c r="B37" t="inlineStr">
        <is>
          <t>avverkningsanmälan</t>
        </is>
      </c>
      <c r="C37" t="inlineStr">
        <is>
          <t>Föryngringsavverkning</t>
        </is>
      </c>
      <c r="D37" s="1" t="n">
        <v>44658</v>
      </c>
      <c r="E37" s="1" t="n">
        <v>46299</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46299</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36564-2026</t>
        </is>
      </c>
      <c r="B39" t="inlineStr">
        <is>
          <t>avverkningsanmälan</t>
        </is>
      </c>
      <c r="C39" t="inlineStr">
        <is>
          <t>Föryngringsavverkning</t>
        </is>
      </c>
      <c r="D39" s="1" t="n">
        <v>46269</v>
      </c>
      <c r="E39" s="1" t="n">
        <v>46299</v>
      </c>
      <c r="F39" t="inlineStr">
        <is>
          <t>NORRBOTTENS LÄN</t>
        </is>
      </c>
      <c r="G39" t="inlineStr">
        <is>
          <t>ARJEPLOG</t>
        </is>
      </c>
      <c r="H39" t="inlineStr">
        <is>
          <t>Sveaskog</t>
        </is>
      </c>
      <c r="I39" t="n">
        <v>21.5</v>
      </c>
      <c r="J39" t="n">
        <v>0</v>
      </c>
      <c r="K39" t="n">
        <v>1</v>
      </c>
      <c r="L39" t="n">
        <v>2</v>
      </c>
      <c r="M39" t="n">
        <v>0</v>
      </c>
      <c r="N39" t="n">
        <v>0</v>
      </c>
      <c r="O39" t="n">
        <v>0</v>
      </c>
      <c r="P39" t="n">
        <v>0</v>
      </c>
      <c r="Q39" t="n">
        <v>2</v>
      </c>
      <c r="R39" t="n">
        <v>0</v>
      </c>
      <c r="S39" t="n">
        <v>3</v>
      </c>
      <c r="T39" t="n">
        <v>5</v>
      </c>
      <c r="U39" t="n">
        <v>0</v>
      </c>
      <c r="V39" s="2" t="inlineStr">
        <is>
          <t>Blå taggsvamp
Kolflarnlav
Stuplav</t>
        </is>
      </c>
      <c r="W39">
        <f>HYPERLINK("https://klasma.github.io/Logging_2506/artfynd/A 36564-2026 artfynd.xlsx", "A 36564-2026")</f>
        <v/>
      </c>
      <c r="X39">
        <f>HYPERLINK("https://klasma.github.io/Logging_2506/kartor/A 36564-2026 karta.png", "A 36564-2026")</f>
        <v/>
      </c>
      <c r="Y39">
        <f>HYPERLINK("https://klasma.github.io/Logging_2506/kartor_geotiff/A 36564-2026 georefererad karta.tif", "A 36564-2026")</f>
        <v/>
      </c>
      <c r="AA39">
        <f>HYPERLINK("https://klasma.github.io/Logging_2506/klagomål/A 36564-2026 FSC-klagomål.docx", "A 36564-2026")</f>
        <v/>
      </c>
      <c r="AB39">
        <f>HYPERLINK("https://klasma.github.io/Logging_2506/klagomålsmail/A 36564-2026 FSC-klagomål mail.docx", "A 36564-2026")</f>
        <v/>
      </c>
      <c r="AC39">
        <f>HYPERLINK("https://klasma.github.io/Logging_2506/tillsyn/A 36564-2026 tillsynsbegäran.docx", "A 36564-2026")</f>
        <v/>
      </c>
      <c r="AD39">
        <f>HYPERLINK("https://klasma.github.io/Logging_2506/tillsynsmail/A 36564-2026 tillsynsbegäran mail.docx", "A 36564-2026")</f>
        <v/>
      </c>
    </row>
    <row r="40" ht="15" customHeight="1">
      <c r="A40" t="inlineStr">
        <is>
          <t>A 10525-2024</t>
        </is>
      </c>
      <c r="B40" t="inlineStr">
        <is>
          <t>avverkningsanmälan</t>
        </is>
      </c>
      <c r="C40" t="inlineStr">
        <is>
          <t>Föryngringsavverkning</t>
        </is>
      </c>
      <c r="D40" s="1" t="n">
        <v>45366</v>
      </c>
      <c r="E40" s="1" t="n">
        <v>46299</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41375-2024</t>
        </is>
      </c>
      <c r="B41" t="inlineStr">
        <is>
          <t>avverkningsanmälan</t>
        </is>
      </c>
      <c r="C41" t="inlineStr">
        <is>
          <t>Avverkning för annat ändamål</t>
        </is>
      </c>
      <c r="D41" s="1" t="n">
        <v>45559</v>
      </c>
      <c r="E41" s="1" t="n">
        <v>46299</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46299</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46299</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46299</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46299</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46299</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46299</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46299</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46299</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46299</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46299</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46299</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46299</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46299</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46299</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46299</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46299</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46299</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55266-2024</t>
        </is>
      </c>
      <c r="B59" t="inlineStr">
        <is>
          <t>avverkningsanmälan</t>
        </is>
      </c>
      <c r="C59" t="inlineStr">
        <is>
          <t>Föryngringsavverkning</t>
        </is>
      </c>
      <c r="D59" s="1" t="n">
        <v>45621</v>
      </c>
      <c r="E59" s="1" t="n">
        <v>46299</v>
      </c>
      <c r="F59" t="inlineStr">
        <is>
          <t>NORRBOTTENS LÄN</t>
        </is>
      </c>
      <c r="G59" t="inlineStr">
        <is>
          <t>ARJEPLOG</t>
        </is>
      </c>
      <c r="I59" t="n">
        <v>11.3</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46299</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46299</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46299</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35627-2025</t>
        </is>
      </c>
      <c r="B63" t="inlineStr">
        <is>
          <t>avverkningsanmälan</t>
        </is>
      </c>
      <c r="C63" t="inlineStr">
        <is>
          <t>Föryngringsavverkning</t>
        </is>
      </c>
      <c r="D63" s="1" t="n">
        <v>45859</v>
      </c>
      <c r="E63" s="1" t="n">
        <v>46299</v>
      </c>
      <c r="F63" t="inlineStr">
        <is>
          <t>NORRBOTTENS LÄN</t>
        </is>
      </c>
      <c r="G63" t="inlineStr">
        <is>
          <t>ARJEPLOG</t>
        </is>
      </c>
      <c r="I63" t="n">
        <v>8</v>
      </c>
      <c r="J63" t="n">
        <v>0</v>
      </c>
      <c r="K63" t="n">
        <v>0</v>
      </c>
      <c r="L63" t="n">
        <v>0</v>
      </c>
      <c r="M63" t="n">
        <v>0</v>
      </c>
      <c r="N63" t="n">
        <v>0</v>
      </c>
      <c r="O63" t="n">
        <v>0</v>
      </c>
      <c r="P63" t="n">
        <v>0</v>
      </c>
      <c r="Q63" t="n">
        <v>0</v>
      </c>
      <c r="R63" t="n">
        <v>0</v>
      </c>
      <c r="S63" t="n">
        <v>0</v>
      </c>
      <c r="T63" t="n">
        <v>0</v>
      </c>
      <c r="U63" t="n">
        <v>0</v>
      </c>
      <c r="V63" s="2" t="inlineStr"/>
    </row>
    <row r="64" ht="15" customHeight="1">
      <c r="A64" t="inlineStr">
        <is>
          <t>A 42331-2025</t>
        </is>
      </c>
      <c r="B64" t="inlineStr">
        <is>
          <t>avverkningsanmälan</t>
        </is>
      </c>
      <c r="C64" t="inlineStr">
        <is>
          <t>Föryngringsavverkning</t>
        </is>
      </c>
      <c r="D64" s="1" t="n">
        <v>45903</v>
      </c>
      <c r="E64" s="1" t="n">
        <v>46299</v>
      </c>
      <c r="F64" t="inlineStr">
        <is>
          <t>NORRBOTTENS LÄN</t>
        </is>
      </c>
      <c r="G64" t="inlineStr">
        <is>
          <t>ARJEPLOG</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42597-2025</t>
        </is>
      </c>
      <c r="B65" t="inlineStr">
        <is>
          <t>avverkningsanmälan</t>
        </is>
      </c>
      <c r="C65" t="inlineStr">
        <is>
          <t>Föryngringsavverkning</t>
        </is>
      </c>
      <c r="D65" s="1" t="n">
        <v>45905</v>
      </c>
      <c r="E65" s="1" t="n">
        <v>46299</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58370-2023</t>
        </is>
      </c>
      <c r="B66" t="inlineStr">
        <is>
          <t>avverkningsanmälan</t>
        </is>
      </c>
      <c r="C66" t="inlineStr">
        <is>
          <t>Avverkning för att bevara och utveckla /försöksver</t>
        </is>
      </c>
      <c r="D66" s="1" t="n">
        <v>45250</v>
      </c>
      <c r="E66" s="1" t="n">
        <v>46299</v>
      </c>
      <c r="F66" t="inlineStr">
        <is>
          <t>NORRBOTTENS LÄN</t>
        </is>
      </c>
      <c r="G66" t="inlineStr">
        <is>
          <t>ARJEPLOG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12447-2025</t>
        </is>
      </c>
      <c r="B67" t="inlineStr">
        <is>
          <t>avverkningsanmälan</t>
        </is>
      </c>
      <c r="C67" t="inlineStr">
        <is>
          <t>Föryngringsavverkning</t>
        </is>
      </c>
      <c r="D67" s="1" t="n">
        <v>45730</v>
      </c>
      <c r="E67" s="1" t="n">
        <v>46299</v>
      </c>
      <c r="F67" t="inlineStr">
        <is>
          <t>NORRBOTTENS LÄN</t>
        </is>
      </c>
      <c r="G67" t="inlineStr">
        <is>
          <t>ARJEPLOG</t>
        </is>
      </c>
      <c r="I67" t="n">
        <v>7.9</v>
      </c>
      <c r="J67" t="n">
        <v>0</v>
      </c>
      <c r="K67" t="n">
        <v>0</v>
      </c>
      <c r="L67" t="n">
        <v>0</v>
      </c>
      <c r="M67" t="n">
        <v>0</v>
      </c>
      <c r="N67" t="n">
        <v>0</v>
      </c>
      <c r="O67" t="n">
        <v>0</v>
      </c>
      <c r="P67" t="n">
        <v>0</v>
      </c>
      <c r="Q67" t="n">
        <v>0</v>
      </c>
      <c r="R67" t="n">
        <v>0</v>
      </c>
      <c r="S67" t="n">
        <v>0</v>
      </c>
      <c r="T67" t="n">
        <v>0</v>
      </c>
      <c r="U67" t="n">
        <v>0</v>
      </c>
      <c r="V67" s="2" t="inlineStr"/>
    </row>
    <row r="68" ht="15" customHeight="1">
      <c r="A68" t="inlineStr">
        <is>
          <t>A 43045-2022</t>
        </is>
      </c>
      <c r="B68" t="inlineStr">
        <is>
          <t>avverkningsanmälan</t>
        </is>
      </c>
      <c r="C68" t="inlineStr">
        <is>
          <t>Föryngringsavverkning</t>
        </is>
      </c>
      <c r="D68" s="1" t="n">
        <v>44833</v>
      </c>
      <c r="E68" s="1" t="n">
        <v>46299</v>
      </c>
      <c r="F68" t="inlineStr">
        <is>
          <t>NORRBOTTENS LÄN</t>
        </is>
      </c>
      <c r="G68" t="inlineStr">
        <is>
          <t>ARJEPLOG</t>
        </is>
      </c>
      <c r="I68" t="n">
        <v>24.6</v>
      </c>
      <c r="J68" t="n">
        <v>0</v>
      </c>
      <c r="K68" t="n">
        <v>0</v>
      </c>
      <c r="L68" t="n">
        <v>0</v>
      </c>
      <c r="M68" t="n">
        <v>0</v>
      </c>
      <c r="N68" t="n">
        <v>0</v>
      </c>
      <c r="O68" t="n">
        <v>0</v>
      </c>
      <c r="P68" t="n">
        <v>0</v>
      </c>
      <c r="Q68" t="n">
        <v>0</v>
      </c>
      <c r="R68" t="n">
        <v>0</v>
      </c>
      <c r="S68" t="n">
        <v>0</v>
      </c>
      <c r="T68" t="n">
        <v>0</v>
      </c>
      <c r="U68" t="n">
        <v>0</v>
      </c>
      <c r="V68" s="2" t="inlineStr"/>
    </row>
    <row r="69" ht="15" customHeight="1">
      <c r="A69" t="inlineStr">
        <is>
          <t>A 43045-2022</t>
        </is>
      </c>
      <c r="B69" t="inlineStr">
        <is>
          <t>avverkningsanmälan</t>
        </is>
      </c>
      <c r="C69" t="inlineStr">
        <is>
          <t>Föryngringsavverkning</t>
        </is>
      </c>
      <c r="D69" s="1" t="n">
        <v>44833</v>
      </c>
      <c r="E69" s="1" t="n">
        <v>46299</v>
      </c>
      <c r="F69" t="inlineStr">
        <is>
          <t>NORRBOTTENS LÄN</t>
        </is>
      </c>
      <c r="G69" t="inlineStr">
        <is>
          <t>ARJEPLOG</t>
        </is>
      </c>
      <c r="I69" t="n">
        <v>23.2</v>
      </c>
      <c r="J69" t="n">
        <v>0</v>
      </c>
      <c r="K69" t="n">
        <v>0</v>
      </c>
      <c r="L69" t="n">
        <v>0</v>
      </c>
      <c r="M69" t="n">
        <v>0</v>
      </c>
      <c r="N69" t="n">
        <v>0</v>
      </c>
      <c r="O69" t="n">
        <v>0</v>
      </c>
      <c r="P69" t="n">
        <v>0</v>
      </c>
      <c r="Q69" t="n">
        <v>0</v>
      </c>
      <c r="R69" t="n">
        <v>0</v>
      </c>
      <c r="S69" t="n">
        <v>0</v>
      </c>
      <c r="T69" t="n">
        <v>0</v>
      </c>
      <c r="U69" t="n">
        <v>0</v>
      </c>
      <c r="V69" s="2" t="inlineStr"/>
    </row>
    <row r="70" ht="15" customHeight="1">
      <c r="A70" t="inlineStr">
        <is>
          <t>A 25239-2023</t>
        </is>
      </c>
      <c r="B70" t="inlineStr">
        <is>
          <t>avverkningsanmälan</t>
        </is>
      </c>
      <c r="C70" t="inlineStr">
        <is>
          <t>Föryngringsavverkning</t>
        </is>
      </c>
      <c r="D70" s="1" t="n">
        <v>45079</v>
      </c>
      <c r="E70" s="1" t="n">
        <v>46299</v>
      </c>
      <c r="F70" t="inlineStr">
        <is>
          <t>NORRBOTTENS LÄN</t>
        </is>
      </c>
      <c r="G70" t="inlineStr">
        <is>
          <t>ARJEPLOG</t>
        </is>
      </c>
      <c r="H70" t="inlineStr">
        <is>
          <t>Övriga statliga verk och myndigheter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50255-2023</t>
        </is>
      </c>
      <c r="B71" t="inlineStr">
        <is>
          <t>avverkningsanmälan</t>
        </is>
      </c>
      <c r="C71" t="inlineStr">
        <is>
          <t>Föryngringsavverkning</t>
        </is>
      </c>
      <c r="D71" s="1" t="n">
        <v>45216</v>
      </c>
      <c r="E71" s="1" t="n">
        <v>46299</v>
      </c>
      <c r="F71" t="inlineStr">
        <is>
          <t>NORRBOTTENS LÄN</t>
        </is>
      </c>
      <c r="G71" t="inlineStr">
        <is>
          <t>ARJEPLOG</t>
        </is>
      </c>
      <c r="I71" t="n">
        <v>20</v>
      </c>
      <c r="J71" t="n">
        <v>0</v>
      </c>
      <c r="K71" t="n">
        <v>0</v>
      </c>
      <c r="L71" t="n">
        <v>0</v>
      </c>
      <c r="M71" t="n">
        <v>0</v>
      </c>
      <c r="N71" t="n">
        <v>0</v>
      </c>
      <c r="O71" t="n">
        <v>0</v>
      </c>
      <c r="P71" t="n">
        <v>0</v>
      </c>
      <c r="Q71" t="n">
        <v>0</v>
      </c>
      <c r="R71" t="n">
        <v>0</v>
      </c>
      <c r="S71" t="n">
        <v>0</v>
      </c>
      <c r="T71" t="n">
        <v>0</v>
      </c>
      <c r="U71" t="n">
        <v>0</v>
      </c>
      <c r="V71" s="2" t="inlineStr"/>
    </row>
    <row r="72" ht="15" customHeight="1">
      <c r="A72" t="inlineStr">
        <is>
          <t>A 3006-2024</t>
        </is>
      </c>
      <c r="B72" t="inlineStr">
        <is>
          <t>avverkningsanmälan</t>
        </is>
      </c>
      <c r="C72" t="inlineStr">
        <is>
          <t>Föryngringsavverkning</t>
        </is>
      </c>
      <c r="D72" s="1" t="n">
        <v>45315</v>
      </c>
      <c r="E72" s="1" t="n">
        <v>46299</v>
      </c>
      <c r="F72" t="inlineStr">
        <is>
          <t>NORRBOTTENS LÄN</t>
        </is>
      </c>
      <c r="G72" t="inlineStr">
        <is>
          <t>ARJEPLOG</t>
        </is>
      </c>
      <c r="I72" t="n">
        <v>9.1</v>
      </c>
      <c r="J72" t="n">
        <v>0</v>
      </c>
      <c r="K72" t="n">
        <v>0</v>
      </c>
      <c r="L72" t="n">
        <v>0</v>
      </c>
      <c r="M72" t="n">
        <v>0</v>
      </c>
      <c r="N72" t="n">
        <v>0</v>
      </c>
      <c r="O72" t="n">
        <v>0</v>
      </c>
      <c r="P72" t="n">
        <v>0</v>
      </c>
      <c r="Q72" t="n">
        <v>0</v>
      </c>
      <c r="R72" t="n">
        <v>0</v>
      </c>
      <c r="S72" t="n">
        <v>0</v>
      </c>
      <c r="T72" t="n">
        <v>0</v>
      </c>
      <c r="U72" t="n">
        <v>0</v>
      </c>
      <c r="V72" s="2" t="inlineStr"/>
    </row>
    <row r="73" ht="15" customHeight="1">
      <c r="A73" t="inlineStr">
        <is>
          <t>A 526-2025</t>
        </is>
      </c>
      <c r="B73" t="inlineStr">
        <is>
          <t>avverkningsanmälan</t>
        </is>
      </c>
      <c r="C73" t="inlineStr">
        <is>
          <t>Avverkning för annat ändamål</t>
        </is>
      </c>
      <c r="D73" s="1" t="n">
        <v>45664</v>
      </c>
      <c r="E73" s="1" t="n">
        <v>46299</v>
      </c>
      <c r="F73" t="inlineStr">
        <is>
          <t>NORRBOTTENS LÄN</t>
        </is>
      </c>
      <c r="G73" t="inlineStr">
        <is>
          <t>ARJEPLOG</t>
        </is>
      </c>
      <c r="H73" t="inlineStr">
        <is>
          <t>Övriga statliga verk och myndigheter</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48987-2025</t>
        </is>
      </c>
      <c r="B74" t="inlineStr">
        <is>
          <t>avverkningsanmälan</t>
        </is>
      </c>
      <c r="C74" t="inlineStr">
        <is>
          <t>Avverkning för annat ändamål</t>
        </is>
      </c>
      <c r="D74" s="1" t="n">
        <v>45937</v>
      </c>
      <c r="E74" s="1" t="n">
        <v>46299</v>
      </c>
      <c r="F74" t="inlineStr">
        <is>
          <t>NORRBOTTENS LÄN</t>
        </is>
      </c>
      <c r="G74" t="inlineStr">
        <is>
          <t>ARJEPLOG</t>
        </is>
      </c>
      <c r="H74" t="inlineStr">
        <is>
          <t>Sveaskog</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58989-2024</t>
        </is>
      </c>
      <c r="B75" t="inlineStr">
        <is>
          <t>avverkningsanmälan</t>
        </is>
      </c>
      <c r="C75" t="inlineStr">
        <is>
          <t>Avverkning för annat ändamål</t>
        </is>
      </c>
      <c r="D75" s="1" t="n">
        <v>45636</v>
      </c>
      <c r="E75" s="1" t="n">
        <v>46299</v>
      </c>
      <c r="F75" t="inlineStr">
        <is>
          <t>NORRBOTTENS LÄN</t>
        </is>
      </c>
      <c r="G75" t="inlineStr">
        <is>
          <t>ARJEPLOG</t>
        </is>
      </c>
      <c r="H75" t="inlineStr">
        <is>
          <t>Sveaskog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23949-2024</t>
        </is>
      </c>
      <c r="B76" t="inlineStr">
        <is>
          <t>avverkningsanmälan</t>
        </is>
      </c>
      <c r="C76" t="inlineStr">
        <is>
          <t>Föryngringsavverkning</t>
        </is>
      </c>
      <c r="D76" s="1" t="n">
        <v>45455</v>
      </c>
      <c r="E76" s="1" t="n">
        <v>46299</v>
      </c>
      <c r="F76" t="inlineStr">
        <is>
          <t>NORRBOTTENS LÄN</t>
        </is>
      </c>
      <c r="G76" t="inlineStr">
        <is>
          <t>ARJEPLOG</t>
        </is>
      </c>
      <c r="H76" t="inlineStr">
        <is>
          <t>SCA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25270-2023</t>
        </is>
      </c>
      <c r="B77" t="inlineStr">
        <is>
          <t>avverkningsanmälan</t>
        </is>
      </c>
      <c r="C77" t="inlineStr">
        <is>
          <t>Föryngringsavverkning</t>
        </is>
      </c>
      <c r="D77" s="1" t="n">
        <v>45079</v>
      </c>
      <c r="E77" s="1" t="n">
        <v>46299</v>
      </c>
      <c r="F77" t="inlineStr">
        <is>
          <t>NORRBOTTENS LÄN</t>
        </is>
      </c>
      <c r="G77" t="inlineStr">
        <is>
          <t>ARJEPLOG</t>
        </is>
      </c>
      <c r="H77" t="inlineStr">
        <is>
          <t>Övriga statliga verk och myndigheter</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34426-2025</t>
        </is>
      </c>
      <c r="B78" t="inlineStr">
        <is>
          <t>avverkningsanmälan</t>
        </is>
      </c>
      <c r="C78" t="inlineStr">
        <is>
          <t>Föryngringsavverkning</t>
        </is>
      </c>
      <c r="D78" s="1" t="n">
        <v>45845</v>
      </c>
      <c r="E78" s="1" t="n">
        <v>46299</v>
      </c>
      <c r="F78" t="inlineStr">
        <is>
          <t>NORRBOTTENS LÄN</t>
        </is>
      </c>
      <c r="G78" t="inlineStr">
        <is>
          <t>ARJEPLOG</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17536-2023</t>
        </is>
      </c>
      <c r="B79" t="inlineStr">
        <is>
          <t>avverkningsanmälan</t>
        </is>
      </c>
      <c r="C79" t="inlineStr">
        <is>
          <t>Föryngringsavverkning</t>
        </is>
      </c>
      <c r="D79" s="1" t="n">
        <v>45034</v>
      </c>
      <c r="E79" s="1" t="n">
        <v>46299</v>
      </c>
      <c r="F79" t="inlineStr">
        <is>
          <t>NORRBOTTENS LÄN</t>
        </is>
      </c>
      <c r="G79" t="inlineStr">
        <is>
          <t>ARJEPLOG</t>
        </is>
      </c>
      <c r="H79" t="inlineStr">
        <is>
          <t>Övriga statliga verk och myndigheter</t>
        </is>
      </c>
      <c r="I79" t="n">
        <v>20.3</v>
      </c>
      <c r="J79" t="n">
        <v>0</v>
      </c>
      <c r="K79" t="n">
        <v>0</v>
      </c>
      <c r="L79" t="n">
        <v>0</v>
      </c>
      <c r="M79" t="n">
        <v>0</v>
      </c>
      <c r="N79" t="n">
        <v>0</v>
      </c>
      <c r="O79" t="n">
        <v>0</v>
      </c>
      <c r="P79" t="n">
        <v>0</v>
      </c>
      <c r="Q79" t="n">
        <v>0</v>
      </c>
      <c r="R79" t="n">
        <v>0</v>
      </c>
      <c r="S79" t="n">
        <v>0</v>
      </c>
      <c r="T79" t="n">
        <v>0</v>
      </c>
      <c r="U79" t="n">
        <v>0</v>
      </c>
      <c r="V79" s="2" t="inlineStr"/>
    </row>
    <row r="80" ht="15" customHeight="1">
      <c r="A80" t="inlineStr">
        <is>
          <t>A 54589-2021</t>
        </is>
      </c>
      <c r="B80" t="inlineStr">
        <is>
          <t>avverkningsanmälan</t>
        </is>
      </c>
      <c r="C80" t="inlineStr">
        <is>
          <t>Föryngringsavverkning</t>
        </is>
      </c>
      <c r="D80" s="1" t="n">
        <v>44473</v>
      </c>
      <c r="E80" s="1" t="n">
        <v>46299</v>
      </c>
      <c r="F80" t="inlineStr">
        <is>
          <t>NORRBOTTENS LÄN</t>
        </is>
      </c>
      <c r="G80" t="inlineStr">
        <is>
          <t>ARJEPLOG</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59887-2025</t>
        </is>
      </c>
      <c r="B81" t="inlineStr">
        <is>
          <t>avverkningsanmälan</t>
        </is>
      </c>
      <c r="C81" t="inlineStr">
        <is>
          <t>Föryngringsavverkning</t>
        </is>
      </c>
      <c r="D81" s="1" t="n">
        <v>45993</v>
      </c>
      <c r="E81" s="1" t="n">
        <v>46299</v>
      </c>
      <c r="F81" t="inlineStr">
        <is>
          <t>NORRBOTTENS LÄN</t>
        </is>
      </c>
      <c r="G81" t="inlineStr">
        <is>
          <t>ARJEPLOG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60767-2025</t>
        </is>
      </c>
      <c r="B82" t="inlineStr">
        <is>
          <t>avverkningsanmälan</t>
        </is>
      </c>
      <c r="C82" t="inlineStr">
        <is>
          <t>Föryngringsavverkning</t>
        </is>
      </c>
      <c r="D82" s="1" t="n">
        <v>45999</v>
      </c>
      <c r="E82" s="1" t="n">
        <v>46299</v>
      </c>
      <c r="F82" t="inlineStr">
        <is>
          <t>NORRBOTTENS LÄN</t>
        </is>
      </c>
      <c r="G82" t="inlineStr">
        <is>
          <t>ARJEPLOG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60766-2025</t>
        </is>
      </c>
      <c r="B83" t="inlineStr">
        <is>
          <t>avverkningsanmälan</t>
        </is>
      </c>
      <c r="C83" t="inlineStr">
        <is>
          <t>Föryngringsavverkning</t>
        </is>
      </c>
      <c r="D83" s="1" t="n">
        <v>45999</v>
      </c>
      <c r="E83" s="1" t="n">
        <v>46299</v>
      </c>
      <c r="F83" t="inlineStr">
        <is>
          <t>NORRBOTTENS LÄN</t>
        </is>
      </c>
      <c r="G83" t="inlineStr">
        <is>
          <t>ARJEPLOG</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25275-2023</t>
        </is>
      </c>
      <c r="B84" t="inlineStr">
        <is>
          <t>avverkningsanmälan</t>
        </is>
      </c>
      <c r="C84" t="inlineStr">
        <is>
          <t>Föryngringsavverkning</t>
        </is>
      </c>
      <c r="D84" s="1" t="n">
        <v>45079</v>
      </c>
      <c r="E84" s="1" t="n">
        <v>46299</v>
      </c>
      <c r="F84" t="inlineStr">
        <is>
          <t>NORRBOTTENS LÄN</t>
        </is>
      </c>
      <c r="G84" t="inlineStr">
        <is>
          <t>ARJEPLOG</t>
        </is>
      </c>
      <c r="H84" t="inlineStr">
        <is>
          <t>Övriga statliga verk och myndigheter</t>
        </is>
      </c>
      <c r="I84" t="n">
        <v>22.7</v>
      </c>
      <c r="J84" t="n">
        <v>0</v>
      </c>
      <c r="K84" t="n">
        <v>0</v>
      </c>
      <c r="L84" t="n">
        <v>0</v>
      </c>
      <c r="M84" t="n">
        <v>0</v>
      </c>
      <c r="N84" t="n">
        <v>0</v>
      </c>
      <c r="O84" t="n">
        <v>0</v>
      </c>
      <c r="P84" t="n">
        <v>0</v>
      </c>
      <c r="Q84" t="n">
        <v>0</v>
      </c>
      <c r="R84" t="n">
        <v>0</v>
      </c>
      <c r="S84" t="n">
        <v>0</v>
      </c>
      <c r="T84" t="n">
        <v>0</v>
      </c>
      <c r="U84" t="n">
        <v>0</v>
      </c>
      <c r="V84" s="2" t="inlineStr"/>
    </row>
    <row r="85" ht="15" customHeight="1">
      <c r="A85" t="inlineStr">
        <is>
          <t>A 31104-2025</t>
        </is>
      </c>
      <c r="B85" t="inlineStr">
        <is>
          <t>avverkningsanmälan</t>
        </is>
      </c>
      <c r="C85" t="inlineStr">
        <is>
          <t>Föryngringsavverkning</t>
        </is>
      </c>
      <c r="D85" s="1" t="n">
        <v>45832</v>
      </c>
      <c r="E85" s="1" t="n">
        <v>46299</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20789-2022</t>
        </is>
      </c>
      <c r="B86" t="inlineStr">
        <is>
          <t>avverkningsanmälan</t>
        </is>
      </c>
      <c r="C86" t="inlineStr">
        <is>
          <t>Föryngringsavverkning</t>
        </is>
      </c>
      <c r="D86" s="1" t="n">
        <v>44701</v>
      </c>
      <c r="E86" s="1" t="n">
        <v>46299</v>
      </c>
      <c r="F86" t="inlineStr">
        <is>
          <t>NORRBOTTENS LÄN</t>
        </is>
      </c>
      <c r="G86" t="inlineStr">
        <is>
          <t>ARJEPLOG</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25559-2022</t>
        </is>
      </c>
      <c r="B87" t="inlineStr">
        <is>
          <t>avverkningsanmälan</t>
        </is>
      </c>
      <c r="C87" t="inlineStr">
        <is>
          <t>Föryngringsavverkning</t>
        </is>
      </c>
      <c r="D87" s="1" t="n">
        <v>44732</v>
      </c>
      <c r="E87" s="1" t="n">
        <v>46299</v>
      </c>
      <c r="F87" t="inlineStr">
        <is>
          <t>NORRBOTTENS LÄN</t>
        </is>
      </c>
      <c r="G87" t="inlineStr">
        <is>
          <t>ARJEPLOG</t>
        </is>
      </c>
      <c r="H87" t="inlineStr">
        <is>
          <t>Övriga statliga verk och myndigheter</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20319-2026</t>
        </is>
      </c>
      <c r="B88" t="inlineStr">
        <is>
          <t>avverkningsanmälan</t>
        </is>
      </c>
      <c r="C88" t="inlineStr">
        <is>
          <t>Föryngringsavverkning</t>
        </is>
      </c>
      <c r="D88" s="1" t="n">
        <v>46139</v>
      </c>
      <c r="E88" s="1" t="n">
        <v>46299</v>
      </c>
      <c r="F88" t="inlineStr">
        <is>
          <t>NORRBOTTENS LÄN</t>
        </is>
      </c>
      <c r="G88" t="inlineStr">
        <is>
          <t>ARJEPLOG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20326-2026</t>
        </is>
      </c>
      <c r="B89" t="inlineStr">
        <is>
          <t>avverkningsanmälan</t>
        </is>
      </c>
      <c r="C89" t="inlineStr">
        <is>
          <t>Föryngringsavverkning</t>
        </is>
      </c>
      <c r="D89" s="1" t="n">
        <v>46139</v>
      </c>
      <c r="E89" s="1" t="n">
        <v>46299</v>
      </c>
      <c r="F89" t="inlineStr">
        <is>
          <t>NORRBOTTENS LÄN</t>
        </is>
      </c>
      <c r="G89" t="inlineStr">
        <is>
          <t>ARJEPLOG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29662-2025</t>
        </is>
      </c>
      <c r="B90" t="inlineStr">
        <is>
          <t>avverkningsanmälan</t>
        </is>
      </c>
      <c r="C90" t="inlineStr">
        <is>
          <t>Föryngringsavverkning</t>
        </is>
      </c>
      <c r="D90" s="1" t="n">
        <v>45825</v>
      </c>
      <c r="E90" s="1" t="n">
        <v>46299</v>
      </c>
      <c r="F90" t="inlineStr">
        <is>
          <t>NORRBOTTENS LÄN</t>
        </is>
      </c>
      <c r="G90" t="inlineStr">
        <is>
          <t>ARJEPLOG</t>
        </is>
      </c>
      <c r="H90" t="inlineStr">
        <is>
          <t>Allmännings- och besparingsskogar</t>
        </is>
      </c>
      <c r="I90" t="n">
        <v>23.7</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46299</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26472-2024</t>
        </is>
      </c>
      <c r="B92" t="inlineStr">
        <is>
          <t>avverkningsanmälan</t>
        </is>
      </c>
      <c r="C92" t="inlineStr">
        <is>
          <t>Föryngringsavverkning</t>
        </is>
      </c>
      <c r="D92" s="1" t="n">
        <v>45469</v>
      </c>
      <c r="E92" s="1" t="n">
        <v>46299</v>
      </c>
      <c r="F92" t="inlineStr">
        <is>
          <t>NORRBOTTENS LÄN</t>
        </is>
      </c>
      <c r="G92" t="inlineStr">
        <is>
          <t>ARJEPLOG</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64816-2023</t>
        </is>
      </c>
      <c r="B93" t="inlineStr">
        <is>
          <t>avverkningsanmälan</t>
        </is>
      </c>
      <c r="C93" t="inlineStr">
        <is>
          <t>Föryngringsavverkning</t>
        </is>
      </c>
      <c r="D93" s="1" t="n">
        <v>45281</v>
      </c>
      <c r="E93" s="1" t="n">
        <v>46299</v>
      </c>
      <c r="F93" t="inlineStr">
        <is>
          <t>NORRBOTTENS LÄN</t>
        </is>
      </c>
      <c r="G93" t="inlineStr">
        <is>
          <t>ARJEPLOG</t>
        </is>
      </c>
      <c r="I93" t="n">
        <v>13.4</v>
      </c>
      <c r="J93" t="n">
        <v>0</v>
      </c>
      <c r="K93" t="n">
        <v>0</v>
      </c>
      <c r="L93" t="n">
        <v>0</v>
      </c>
      <c r="M93" t="n">
        <v>0</v>
      </c>
      <c r="N93" t="n">
        <v>0</v>
      </c>
      <c r="O93" t="n">
        <v>0</v>
      </c>
      <c r="P93" t="n">
        <v>0</v>
      </c>
      <c r="Q93" t="n">
        <v>0</v>
      </c>
      <c r="R93" t="n">
        <v>0</v>
      </c>
      <c r="S93" t="n">
        <v>0</v>
      </c>
      <c r="T93" t="n">
        <v>0</v>
      </c>
      <c r="U93" t="n">
        <v>0</v>
      </c>
      <c r="V93" s="2" t="inlineStr"/>
    </row>
    <row r="94" ht="15" customHeight="1">
      <c r="A94" t="inlineStr">
        <is>
          <t>A 28354-2022</t>
        </is>
      </c>
      <c r="B94" t="inlineStr">
        <is>
          <t>avverkningsanmälan</t>
        </is>
      </c>
      <c r="C94" t="inlineStr">
        <is>
          <t>Avverkning för annat ändamål</t>
        </is>
      </c>
      <c r="D94" s="1" t="n">
        <v>44735</v>
      </c>
      <c r="E94" s="1" t="n">
        <v>46299</v>
      </c>
      <c r="F94" t="inlineStr">
        <is>
          <t>NORRBOTTENS LÄN</t>
        </is>
      </c>
      <c r="G94" t="inlineStr">
        <is>
          <t>ARJEPLOG</t>
        </is>
      </c>
      <c r="H94" t="inlineStr">
        <is>
          <t>Övriga statliga verk och myndigheter</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27092-2022</t>
        </is>
      </c>
      <c r="B95" t="inlineStr">
        <is>
          <t>avverkningsanmälan</t>
        </is>
      </c>
      <c r="C95" t="inlineStr">
        <is>
          <t>Föryngringsavverkning</t>
        </is>
      </c>
      <c r="D95" s="1" t="n">
        <v>44741</v>
      </c>
      <c r="E95" s="1" t="n">
        <v>46299</v>
      </c>
      <c r="F95" t="inlineStr">
        <is>
          <t>NORRBOTTENS LÄN</t>
        </is>
      </c>
      <c r="G95" t="inlineStr">
        <is>
          <t>ARJEPLOG</t>
        </is>
      </c>
      <c r="I95" t="n">
        <v>15.6</v>
      </c>
      <c r="J95" t="n">
        <v>0</v>
      </c>
      <c r="K95" t="n">
        <v>0</v>
      </c>
      <c r="L95" t="n">
        <v>0</v>
      </c>
      <c r="M95" t="n">
        <v>0</v>
      </c>
      <c r="N95" t="n">
        <v>0</v>
      </c>
      <c r="O95" t="n">
        <v>0</v>
      </c>
      <c r="P95" t="n">
        <v>0</v>
      </c>
      <c r="Q95" t="n">
        <v>0</v>
      </c>
      <c r="R95" t="n">
        <v>0</v>
      </c>
      <c r="S95" t="n">
        <v>0</v>
      </c>
      <c r="T95" t="n">
        <v>0</v>
      </c>
      <c r="U95" t="n">
        <v>0</v>
      </c>
      <c r="V95" s="2" t="inlineStr"/>
    </row>
    <row r="96" ht="15" customHeight="1">
      <c r="A96" t="inlineStr">
        <is>
          <t>A 29674-2025</t>
        </is>
      </c>
      <c r="B96" t="inlineStr">
        <is>
          <t>avverkningsanmälan</t>
        </is>
      </c>
      <c r="C96" t="inlineStr">
        <is>
          <t>Föryngringsavverkning</t>
        </is>
      </c>
      <c r="D96" s="1" t="n">
        <v>45825</v>
      </c>
      <c r="E96" s="1" t="n">
        <v>46299</v>
      </c>
      <c r="F96" t="inlineStr">
        <is>
          <t>NORRBOTTENS LÄN</t>
        </is>
      </c>
      <c r="G96" t="inlineStr">
        <is>
          <t>ARJEPLOG</t>
        </is>
      </c>
      <c r="H96" t="inlineStr">
        <is>
          <t>Allmännings- och besparingsskogar</t>
        </is>
      </c>
      <c r="I96" t="n">
        <v>25.1</v>
      </c>
      <c r="J96" t="n">
        <v>0</v>
      </c>
      <c r="K96" t="n">
        <v>0</v>
      </c>
      <c r="L96" t="n">
        <v>0</v>
      </c>
      <c r="M96" t="n">
        <v>0</v>
      </c>
      <c r="N96" t="n">
        <v>0</v>
      </c>
      <c r="O96" t="n">
        <v>0</v>
      </c>
      <c r="P96" t="n">
        <v>0</v>
      </c>
      <c r="Q96" t="n">
        <v>0</v>
      </c>
      <c r="R96" t="n">
        <v>0</v>
      </c>
      <c r="S96" t="n">
        <v>0</v>
      </c>
      <c r="T96" t="n">
        <v>0</v>
      </c>
      <c r="U96" t="n">
        <v>0</v>
      </c>
      <c r="V96" s="2" t="inlineStr"/>
    </row>
    <row r="97" ht="15" customHeight="1">
      <c r="A97" t="inlineStr">
        <is>
          <t>A 44218-2023</t>
        </is>
      </c>
      <c r="B97" t="inlineStr">
        <is>
          <t>avverkningsanmälan</t>
        </is>
      </c>
      <c r="C97" t="inlineStr">
        <is>
          <t>Avverkning för annat ändamål</t>
        </is>
      </c>
      <c r="D97" s="1" t="n">
        <v>45183</v>
      </c>
      <c r="E97" s="1" t="n">
        <v>46299</v>
      </c>
      <c r="F97" t="inlineStr">
        <is>
          <t>NORRBOTTENS LÄN</t>
        </is>
      </c>
      <c r="G97" t="inlineStr">
        <is>
          <t>ARJEPLOG</t>
        </is>
      </c>
      <c r="H97" t="inlineStr">
        <is>
          <t>Allmännings- och besparingsskogar</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23330-2026</t>
        </is>
      </c>
      <c r="B98" t="inlineStr">
        <is>
          <t>avverkningsanmälan</t>
        </is>
      </c>
      <c r="C98" t="inlineStr">
        <is>
          <t>Föryngringsavverkning</t>
        </is>
      </c>
      <c r="D98" s="1" t="n">
        <v>46162</v>
      </c>
      <c r="E98" s="1" t="n">
        <v>46299</v>
      </c>
      <c r="F98" t="inlineStr">
        <is>
          <t>NORRBOTTENS LÄN</t>
        </is>
      </c>
      <c r="G98" t="inlineStr">
        <is>
          <t>ARJEPLOG</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23335-2026</t>
        </is>
      </c>
      <c r="B99" t="inlineStr">
        <is>
          <t>avverkningsanmälan</t>
        </is>
      </c>
      <c r="C99" t="inlineStr">
        <is>
          <t>Föryngringsavverkning</t>
        </is>
      </c>
      <c r="D99" s="1" t="n">
        <v>46162</v>
      </c>
      <c r="E99" s="1" t="n">
        <v>46299</v>
      </c>
      <c r="F99" t="inlineStr">
        <is>
          <t>NORRBOTTENS LÄN</t>
        </is>
      </c>
      <c r="G99" t="inlineStr">
        <is>
          <t>ARJEPLOG</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56754-2024</t>
        </is>
      </c>
      <c r="B100" t="inlineStr">
        <is>
          <t>avverkningsanmälan</t>
        </is>
      </c>
      <c r="C100" t="inlineStr">
        <is>
          <t>Föryngringsavverkning</t>
        </is>
      </c>
      <c r="D100" s="1" t="n">
        <v>45625</v>
      </c>
      <c r="E100" s="1" t="n">
        <v>46299</v>
      </c>
      <c r="F100" t="inlineStr">
        <is>
          <t>NORRBOTTENS LÄN</t>
        </is>
      </c>
      <c r="G100" t="inlineStr">
        <is>
          <t>ARJEPLOG</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61729-2024</t>
        </is>
      </c>
      <c r="B101" t="inlineStr">
        <is>
          <t>avverkningsanmälan</t>
        </is>
      </c>
      <c r="C101" t="inlineStr">
        <is>
          <t>Avverkning för annat ändamål</t>
        </is>
      </c>
      <c r="D101" s="1" t="n">
        <v>45649</v>
      </c>
      <c r="E101" s="1" t="n">
        <v>46299</v>
      </c>
      <c r="F101" t="inlineStr">
        <is>
          <t>NORRBOTTENS LÄN</t>
        </is>
      </c>
      <c r="G101" t="inlineStr">
        <is>
          <t>ARJEPLOG</t>
        </is>
      </c>
      <c r="H101" t="inlineStr">
        <is>
          <t>Övriga statliga verk och myndigheter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53822-2024</t>
        </is>
      </c>
      <c r="B102" t="inlineStr">
        <is>
          <t>avverkningsanmälan</t>
        </is>
      </c>
      <c r="C102" t="inlineStr">
        <is>
          <t>Föryngringsavverkning</t>
        </is>
      </c>
      <c r="D102" s="1" t="n">
        <v>45614</v>
      </c>
      <c r="E102" s="1" t="n">
        <v>46299</v>
      </c>
      <c r="F102" t="inlineStr">
        <is>
          <t>NORRBOTTENS LÄN</t>
        </is>
      </c>
      <c r="G102" t="inlineStr">
        <is>
          <t>ARJEPLOG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26479-2024</t>
        </is>
      </c>
      <c r="B103" t="inlineStr">
        <is>
          <t>avverkningsanmälan</t>
        </is>
      </c>
      <c r="C103" t="inlineStr">
        <is>
          <t>Föryngringsavverkning</t>
        </is>
      </c>
      <c r="D103" s="1" t="n">
        <v>45468</v>
      </c>
      <c r="E103" s="1" t="n">
        <v>46299</v>
      </c>
      <c r="F103" t="inlineStr">
        <is>
          <t>NORRBOTTENS LÄN</t>
        </is>
      </c>
      <c r="G103" t="inlineStr">
        <is>
          <t>ARJEPLOG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26048-2026</t>
        </is>
      </c>
      <c r="B104" t="inlineStr">
        <is>
          <t>avverkningsanmälan</t>
        </is>
      </c>
      <c r="C104" t="inlineStr">
        <is>
          <t>Föryngringsavverkning</t>
        </is>
      </c>
      <c r="D104" s="1" t="n">
        <v>46181</v>
      </c>
      <c r="E104" s="1" t="n">
        <v>46299</v>
      </c>
      <c r="F104" t="inlineStr">
        <is>
          <t>NORRBOTTENS LÄN</t>
        </is>
      </c>
      <c r="G104" t="inlineStr">
        <is>
          <t>ARJEPLOG</t>
        </is>
      </c>
      <c r="I104" t="n">
        <v>16.9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26811-2022</t>
        </is>
      </c>
      <c r="B105" t="inlineStr">
        <is>
          <t>avverkningsanmälan</t>
        </is>
      </c>
      <c r="C105" t="inlineStr">
        <is>
          <t>Avverkning för annat ändamål</t>
        </is>
      </c>
      <c r="D105" s="1" t="n">
        <v>44735</v>
      </c>
      <c r="E105" s="1" t="n">
        <v>46299</v>
      </c>
      <c r="F105" t="inlineStr">
        <is>
          <t>NORRBOTTENS LÄN</t>
        </is>
      </c>
      <c r="G105" t="inlineStr">
        <is>
          <t>ARJEPLOG</t>
        </is>
      </c>
      <c r="H105" t="inlineStr">
        <is>
          <t>Övriga statliga verk och myndigheter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27102-2026</t>
        </is>
      </c>
      <c r="B106" t="inlineStr">
        <is>
          <t>avverkningsanmälan</t>
        </is>
      </c>
      <c r="C106" t="inlineStr">
        <is>
          <t>Avverkning för annat ändamål</t>
        </is>
      </c>
      <c r="D106" s="1" t="n">
        <v>46188</v>
      </c>
      <c r="E106" s="1" t="n">
        <v>46299</v>
      </c>
      <c r="F106" t="inlineStr">
        <is>
          <t>NORRBOTTENS LÄN</t>
        </is>
      </c>
      <c r="G106" t="inlineStr">
        <is>
          <t>ARJEPLOG</t>
        </is>
      </c>
      <c r="H106" t="inlineStr">
        <is>
          <t>Sveaskog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28799-2026</t>
        </is>
      </c>
      <c r="B107" t="inlineStr">
        <is>
          <t>avverkningsanmälan</t>
        </is>
      </c>
      <c r="C107" t="inlineStr">
        <is>
          <t>Föryngringsavverkning</t>
        </is>
      </c>
      <c r="D107" s="1" t="n">
        <v>46198</v>
      </c>
      <c r="E107" s="1" t="n">
        <v>46299</v>
      </c>
      <c r="F107" t="inlineStr">
        <is>
          <t>NORRBOTTENS LÄN</t>
        </is>
      </c>
      <c r="G107" t="inlineStr">
        <is>
          <t>ARJEPLOG</t>
        </is>
      </c>
      <c r="H107" t="inlineStr">
        <is>
          <t>Allmännings- och besparingsskogar</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28804-2026</t>
        </is>
      </c>
      <c r="B108" t="inlineStr">
        <is>
          <t>avverkningsanmälan</t>
        </is>
      </c>
      <c r="C108" t="inlineStr">
        <is>
          <t>Föryngringsavverkning</t>
        </is>
      </c>
      <c r="D108" s="1" t="n">
        <v>46198</v>
      </c>
      <c r="E108" s="1" t="n">
        <v>46299</v>
      </c>
      <c r="F108" t="inlineStr">
        <is>
          <t>NORRBOTTENS LÄN</t>
        </is>
      </c>
      <c r="G108" t="inlineStr">
        <is>
          <t>ARJEPLOG</t>
        </is>
      </c>
      <c r="H108" t="inlineStr">
        <is>
          <t>Allmännings- och besparingsskogar</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28560-2026</t>
        </is>
      </c>
      <c r="B109" t="inlineStr">
        <is>
          <t>avverkningsanmälan</t>
        </is>
      </c>
      <c r="C109" t="inlineStr">
        <is>
          <t>Föryngringsavverkning</t>
        </is>
      </c>
      <c r="D109" s="1" t="n">
        <v>46197</v>
      </c>
      <c r="E109" s="1" t="n">
        <v>46299</v>
      </c>
      <c r="F109" t="inlineStr">
        <is>
          <t>NORRBOTTENS LÄN</t>
        </is>
      </c>
      <c r="G109" t="inlineStr">
        <is>
          <t>ARJEPLOG</t>
        </is>
      </c>
      <c r="H109" t="inlineStr">
        <is>
          <t>Allmännings- och besparingsskogar</t>
        </is>
      </c>
      <c r="I109" t="n">
        <v>14.2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52581-2022</t>
        </is>
      </c>
      <c r="B110" t="inlineStr">
        <is>
          <t>avverkningsanmälan</t>
        </is>
      </c>
      <c r="C110" t="inlineStr">
        <is>
          <t>Föryngringsavverkning</t>
        </is>
      </c>
      <c r="D110" s="1" t="n">
        <v>44874</v>
      </c>
      <c r="E110" s="1" t="n">
        <v>46299</v>
      </c>
      <c r="F110" t="inlineStr">
        <is>
          <t>NORRBOTTENS LÄN</t>
        </is>
      </c>
      <c r="G110" t="inlineStr">
        <is>
          <t>ARJEPLOG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25440-2024</t>
        </is>
      </c>
      <c r="B111" t="inlineStr">
        <is>
          <t>avverkningsanmälan</t>
        </is>
      </c>
      <c r="C111" t="inlineStr">
        <is>
          <t>Föryngringsavverkning</t>
        </is>
      </c>
      <c r="D111" s="1" t="n">
        <v>45463</v>
      </c>
      <c r="E111" s="1" t="n">
        <v>46299</v>
      </c>
      <c r="F111" t="inlineStr">
        <is>
          <t>NORRBOTTENS LÄN</t>
        </is>
      </c>
      <c r="G111" t="inlineStr">
        <is>
          <t>ARJEPLOG</t>
        </is>
      </c>
      <c r="H111" t="inlineStr">
        <is>
          <t>Allmännings- och besparingsskogar</t>
        </is>
      </c>
      <c r="I111" t="n">
        <v>30.7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27836-2026</t>
        </is>
      </c>
      <c r="B112" t="inlineStr">
        <is>
          <t>avverkningsanmälan</t>
        </is>
      </c>
      <c r="C112" t="inlineStr">
        <is>
          <t>Avverkning för annat ändamål</t>
        </is>
      </c>
      <c r="D112" s="1" t="n">
        <v>46189</v>
      </c>
      <c r="E112" s="1" t="n">
        <v>46299</v>
      </c>
      <c r="F112" t="inlineStr">
        <is>
          <t>NORRBOTTENS LÄN</t>
        </is>
      </c>
      <c r="G112" t="inlineStr">
        <is>
          <t>ARJEPLOG</t>
        </is>
      </c>
      <c r="H112" t="inlineStr">
        <is>
          <t>Sveaskog</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28679-2026</t>
        </is>
      </c>
      <c r="B113" t="inlineStr">
        <is>
          <t>avverkningsanmälan</t>
        </is>
      </c>
      <c r="C113" t="inlineStr">
        <is>
          <t>Föryngringsavverkning</t>
        </is>
      </c>
      <c r="D113" s="1" t="n">
        <v>46198</v>
      </c>
      <c r="E113" s="1" t="n">
        <v>46299</v>
      </c>
      <c r="F113" t="inlineStr">
        <is>
          <t>NORRBOTTENS LÄN</t>
        </is>
      </c>
      <c r="G113" t="inlineStr">
        <is>
          <t>ARJEPLOG</t>
        </is>
      </c>
      <c r="H113" t="inlineStr">
        <is>
          <t>Allmännings- och besparingsskogar</t>
        </is>
      </c>
      <c r="I113" t="n">
        <v>17.2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28787-2026</t>
        </is>
      </c>
      <c r="B114" t="inlineStr">
        <is>
          <t>avverkningsanmälan</t>
        </is>
      </c>
      <c r="C114" t="inlineStr">
        <is>
          <t>Föryngringsavverkning</t>
        </is>
      </c>
      <c r="D114" s="1" t="n">
        <v>46198</v>
      </c>
      <c r="E114" s="1" t="n">
        <v>46299</v>
      </c>
      <c r="F114" t="inlineStr">
        <is>
          <t>NORRBOTTENS LÄN</t>
        </is>
      </c>
      <c r="G114" t="inlineStr">
        <is>
          <t>ARJEPLOG</t>
        </is>
      </c>
      <c r="H114" t="inlineStr">
        <is>
          <t>Allmännings- och besparingsskogar</t>
        </is>
      </c>
      <c r="I114" t="n">
        <v>13.3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28532-2026</t>
        </is>
      </c>
      <c r="B115" t="inlineStr">
        <is>
          <t>avverkningsanmälan</t>
        </is>
      </c>
      <c r="C115" t="inlineStr">
        <is>
          <t>Avverkning för annat ändamål</t>
        </is>
      </c>
      <c r="D115" s="1" t="n">
        <v>46197</v>
      </c>
      <c r="E115" s="1" t="n">
        <v>46299</v>
      </c>
      <c r="F115" t="inlineStr">
        <is>
          <t>NORRBOTTENS LÄN</t>
        </is>
      </c>
      <c r="G115" t="inlineStr">
        <is>
          <t>ARJEPLOG</t>
        </is>
      </c>
      <c r="H115" t="inlineStr">
        <is>
          <t>Allmännings- och besparingsskogar</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28551-2026</t>
        </is>
      </c>
      <c r="B116" t="inlineStr">
        <is>
          <t>avverkningsanmälan</t>
        </is>
      </c>
      <c r="C116" t="inlineStr">
        <is>
          <t>Föryngringsavverkning</t>
        </is>
      </c>
      <c r="D116" s="1" t="n">
        <v>46197</v>
      </c>
      <c r="E116" s="1" t="n">
        <v>46299</v>
      </c>
      <c r="F116" t="inlineStr">
        <is>
          <t>NORRBOTTENS LÄN</t>
        </is>
      </c>
      <c r="G116" t="inlineStr">
        <is>
          <t>ARJEPLOG</t>
        </is>
      </c>
      <c r="H116" t="inlineStr">
        <is>
          <t>Allmännings- och besparingsskogar</t>
        </is>
      </c>
      <c r="I116" t="n">
        <v>22.9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26103-2024</t>
        </is>
      </c>
      <c r="B117" t="inlineStr">
        <is>
          <t>avverkningsanmälan</t>
        </is>
      </c>
      <c r="C117" t="inlineStr">
        <is>
          <t>Föryngringsavverkning</t>
        </is>
      </c>
      <c r="D117" s="1" t="n">
        <v>45467</v>
      </c>
      <c r="E117" s="1" t="n">
        <v>46299</v>
      </c>
      <c r="F117" t="inlineStr">
        <is>
          <t>NORRBOTTENS LÄN</t>
        </is>
      </c>
      <c r="G117" t="inlineStr">
        <is>
          <t>ARJEPLOG</t>
        </is>
      </c>
      <c r="I117" t="n">
        <v>17.2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36006-2026</t>
        </is>
      </c>
      <c r="B118" t="inlineStr">
        <is>
          <t>avverkningsanmälan</t>
        </is>
      </c>
      <c r="C118" t="inlineStr">
        <is>
          <t>Avverkning för annat ändamål</t>
        </is>
      </c>
      <c r="D118" s="1" t="n">
        <v>46266</v>
      </c>
      <c r="E118" s="1" t="n">
        <v>46299</v>
      </c>
      <c r="F118" t="inlineStr">
        <is>
          <t>NORRBOTTENS LÄN</t>
        </is>
      </c>
      <c r="G118" t="inlineStr">
        <is>
          <t>ARJEPLOG</t>
        </is>
      </c>
      <c r="H118" t="inlineStr">
        <is>
          <t>Sveaskog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64832-2023</t>
        </is>
      </c>
      <c r="B119" t="inlineStr">
        <is>
          <t>avverkningsanmälan</t>
        </is>
      </c>
      <c r="C119" t="inlineStr">
        <is>
          <t>Föryngringsavverkning</t>
        </is>
      </c>
      <c r="D119" s="1" t="n">
        <v>45281</v>
      </c>
      <c r="E119" s="1" t="n">
        <v>46299</v>
      </c>
      <c r="F119" t="inlineStr">
        <is>
          <t>NORRBOTTENS LÄN</t>
        </is>
      </c>
      <c r="G119" t="inlineStr">
        <is>
          <t>ARJEPLOG</t>
        </is>
      </c>
      <c r="I119" t="n">
        <v>43.6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390-2026</t>
        </is>
      </c>
      <c r="B120" t="inlineStr">
        <is>
          <t>avverkningsanmälan</t>
        </is>
      </c>
      <c r="C120" t="inlineStr">
        <is>
          <t>Föryngringsavverkning</t>
        </is>
      </c>
      <c r="D120" s="1" t="n">
        <v>46028</v>
      </c>
      <c r="E120" s="1" t="n">
        <v>46299</v>
      </c>
      <c r="F120" t="inlineStr">
        <is>
          <t>NORRBOTTENS LÄN</t>
        </is>
      </c>
      <c r="G120" t="inlineStr">
        <is>
          <t>ARJEPLOG</t>
        </is>
      </c>
      <c r="I120" t="n">
        <v>19.5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36470-2026</t>
        </is>
      </c>
      <c r="B121" t="inlineStr">
        <is>
          <t>avverkningsanmälan</t>
        </is>
      </c>
      <c r="C121" t="inlineStr">
        <is>
          <t>Föryngringsavverkning</t>
        </is>
      </c>
      <c r="D121" s="1" t="n">
        <v>46269</v>
      </c>
      <c r="E121" s="1" t="n">
        <v>46299</v>
      </c>
      <c r="F121" t="inlineStr">
        <is>
          <t>NORRBOTTENS LÄN</t>
        </is>
      </c>
      <c r="G121" t="inlineStr">
        <is>
          <t>ARJEPLOG</t>
        </is>
      </c>
      <c r="H121" t="inlineStr">
        <is>
          <t>Sveaskog</t>
        </is>
      </c>
      <c r="I121" t="n">
        <v>13.9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12409-2025</t>
        </is>
      </c>
      <c r="B122" t="inlineStr">
        <is>
          <t>avverkningsanmälan</t>
        </is>
      </c>
      <c r="C122" t="inlineStr">
        <is>
          <t>Föryngringsavverkning</t>
        </is>
      </c>
      <c r="D122" s="1" t="n">
        <v>45730</v>
      </c>
      <c r="E122" s="1" t="n">
        <v>46299</v>
      </c>
      <c r="F122" t="inlineStr">
        <is>
          <t>NORRBOTTENS LÄN</t>
        </is>
      </c>
      <c r="G122" t="inlineStr">
        <is>
          <t>ARJEPLOG</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39456-2026</t>
        </is>
      </c>
      <c r="B123" t="inlineStr">
        <is>
          <t>avverkningsanmälan</t>
        </is>
      </c>
      <c r="C123" t="inlineStr">
        <is>
          <t>Föryngringsavverkning</t>
        </is>
      </c>
      <c r="D123" s="1" t="n">
        <v>46288</v>
      </c>
      <c r="E123" s="1" t="n">
        <v>46299</v>
      </c>
      <c r="F123" t="inlineStr">
        <is>
          <t>NORRBOTTENS LÄN</t>
        </is>
      </c>
      <c r="G123" t="inlineStr">
        <is>
          <t>ARJEPLOG</t>
        </is>
      </c>
      <c r="I123" t="n">
        <v>16.2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38823-2026</t>
        </is>
      </c>
      <c r="B124" t="inlineStr">
        <is>
          <t>avverkningsanmälan</t>
        </is>
      </c>
      <c r="C124" t="inlineStr">
        <is>
          <t>Avverkning för annat ändamål</t>
        </is>
      </c>
      <c r="D124" s="1" t="n">
        <v>46286</v>
      </c>
      <c r="E124" s="1" t="n">
        <v>46299</v>
      </c>
      <c r="F124" t="inlineStr">
        <is>
          <t>NORRBOTTENS LÄN</t>
        </is>
      </c>
      <c r="G124" t="inlineStr">
        <is>
          <t>ARJEPLOG</t>
        </is>
      </c>
      <c r="H124" t="inlineStr">
        <is>
          <t>Kyrkan</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35194-2024</t>
        </is>
      </c>
      <c r="B125" t="inlineStr">
        <is>
          <t>avverkningsanmälan</t>
        </is>
      </c>
      <c r="C125" t="inlineStr">
        <is>
          <t>Föryngringsavverkning</t>
        </is>
      </c>
      <c r="D125" s="1" t="n">
        <v>45530</v>
      </c>
      <c r="E125" s="1" t="n">
        <v>46299</v>
      </c>
      <c r="F125" t="inlineStr">
        <is>
          <t>NORRBOTTENS LÄN</t>
        </is>
      </c>
      <c r="G125" t="inlineStr">
        <is>
          <t>ARJEPLOG</t>
        </is>
      </c>
      <c r="I125" t="n">
        <v>20.1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20322-2026</t>
        </is>
      </c>
      <c r="B126" t="inlineStr">
        <is>
          <t>avverkningsanmälan</t>
        </is>
      </c>
      <c r="C126" t="inlineStr">
        <is>
          <t>Föryngringsavverkning</t>
        </is>
      </c>
      <c r="D126" s="1" t="n">
        <v>46139</v>
      </c>
      <c r="E126" s="1" t="n">
        <v>46299</v>
      </c>
      <c r="F126" t="inlineStr">
        <is>
          <t>NORRBOTTENS LÄN</t>
        </is>
      </c>
      <c r="G126" t="inlineStr">
        <is>
          <t>ARJEPLOG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33993-2026</t>
        </is>
      </c>
      <c r="B127" t="inlineStr">
        <is>
          <t>avverkningsanmälan</t>
        </is>
      </c>
      <c r="C127" t="inlineStr">
        <is>
          <t>Avverkning för annat ändamål</t>
        </is>
      </c>
      <c r="D127" s="1" t="n">
        <v>46252</v>
      </c>
      <c r="E127" s="1" t="n">
        <v>46299</v>
      </c>
      <c r="F127" t="inlineStr">
        <is>
          <t>NORRBOTTENS LÄN</t>
        </is>
      </c>
      <c r="G127" t="inlineStr">
        <is>
          <t>ARJEPLOG</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36623-2023</t>
        </is>
      </c>
      <c r="B128" t="inlineStr">
        <is>
          <t>avverkningsanmälan</t>
        </is>
      </c>
      <c r="C128" t="inlineStr">
        <is>
          <t>Föryngringsavverkning</t>
        </is>
      </c>
      <c r="D128" s="1" t="n">
        <v>45153</v>
      </c>
      <c r="E128" s="1" t="n">
        <v>46299</v>
      </c>
      <c r="F128" t="inlineStr">
        <is>
          <t>NORRBOTTENS LÄN</t>
        </is>
      </c>
      <c r="G128" t="inlineStr">
        <is>
          <t>ARJEPLOG</t>
        </is>
      </c>
      <c r="H128" t="inlineStr">
        <is>
          <t>Sveaskog</t>
        </is>
      </c>
      <c r="I128" t="n">
        <v>16.9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64840-2023</t>
        </is>
      </c>
      <c r="B129" t="inlineStr">
        <is>
          <t>avverkningsanmälan</t>
        </is>
      </c>
      <c r="C129" t="inlineStr">
        <is>
          <t>Föryngringsavverkning</t>
        </is>
      </c>
      <c r="D129" s="1" t="n">
        <v>45281</v>
      </c>
      <c r="E129" s="1" t="n">
        <v>46299</v>
      </c>
      <c r="F129" t="inlineStr">
        <is>
          <t>NORRBOTTENS LÄN</t>
        </is>
      </c>
      <c r="G129" t="inlineStr">
        <is>
          <t>ARJEPLOG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56785-2024</t>
        </is>
      </c>
      <c r="B130" t="inlineStr">
        <is>
          <t>avverkningsanmälan</t>
        </is>
      </c>
      <c r="C130" t="inlineStr">
        <is>
          <t>Föryngringsavverkning</t>
        </is>
      </c>
      <c r="D130" s="1" t="n">
        <v>45625</v>
      </c>
      <c r="E130" s="1" t="n">
        <v>46299</v>
      </c>
      <c r="F130" t="inlineStr">
        <is>
          <t>NORRBOTTENS LÄN</t>
        </is>
      </c>
      <c r="G130" t="inlineStr">
        <is>
          <t>ARJEPLOG</t>
        </is>
      </c>
      <c r="I130" t="n">
        <v>11.2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56800-2024</t>
        </is>
      </c>
      <c r="B131" t="inlineStr">
        <is>
          <t>avverkningsanmälan</t>
        </is>
      </c>
      <c r="C131" t="inlineStr">
        <is>
          <t>Föryngringsavverkning</t>
        </is>
      </c>
      <c r="D131" s="1" t="n">
        <v>45625</v>
      </c>
      <c r="E131" s="1" t="n">
        <v>46299</v>
      </c>
      <c r="F131" t="inlineStr">
        <is>
          <t>NORRBOTTENS LÄN</t>
        </is>
      </c>
      <c r="G131" t="inlineStr">
        <is>
          <t>ARJEPLOG</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56794-2024</t>
        </is>
      </c>
      <c r="B132" t="inlineStr">
        <is>
          <t>avverkningsanmälan</t>
        </is>
      </c>
      <c r="C132" t="inlineStr">
        <is>
          <t>Föryngringsavverkning</t>
        </is>
      </c>
      <c r="D132" s="1" t="n">
        <v>45625</v>
      </c>
      <c r="E132" s="1" t="n">
        <v>46299</v>
      </c>
      <c r="F132" t="inlineStr">
        <is>
          <t>NORRBOTTENS LÄN</t>
        </is>
      </c>
      <c r="G132" t="inlineStr">
        <is>
          <t>ARJEPLOG</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56782-2024</t>
        </is>
      </c>
      <c r="B133" t="inlineStr">
        <is>
          <t>avverkningsanmälan</t>
        </is>
      </c>
      <c r="C133" t="inlineStr">
        <is>
          <t>Föryngringsavverkning</t>
        </is>
      </c>
      <c r="D133" s="1" t="n">
        <v>45625</v>
      </c>
      <c r="E133" s="1" t="n">
        <v>46299</v>
      </c>
      <c r="F133" t="inlineStr">
        <is>
          <t>NORRBOTTENS LÄN</t>
        </is>
      </c>
      <c r="G133" t="inlineStr">
        <is>
          <t>ARJEPLOG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42274-2022</t>
        </is>
      </c>
      <c r="B134" t="inlineStr">
        <is>
          <t>avverkningsanmälan</t>
        </is>
      </c>
      <c r="C134" t="inlineStr">
        <is>
          <t>Föryngringsavverkning</t>
        </is>
      </c>
      <c r="D134" s="1" t="n">
        <v>44830</v>
      </c>
      <c r="E134" s="1" t="n">
        <v>46299</v>
      </c>
      <c r="F134" t="inlineStr">
        <is>
          <t>NORRBOTTENS LÄN</t>
        </is>
      </c>
      <c r="G134" t="inlineStr">
        <is>
          <t>ARJEPLOG</t>
        </is>
      </c>
      <c r="H134" t="inlineStr">
        <is>
          <t>SCA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56276-2021</t>
        </is>
      </c>
      <c r="B135" t="inlineStr">
        <is>
          <t>avverkningsanmälan</t>
        </is>
      </c>
      <c r="C135" t="inlineStr">
        <is>
          <t>Avverkning för annat ändamål</t>
        </is>
      </c>
      <c r="D135" s="1" t="n">
        <v>44479</v>
      </c>
      <c r="E135" s="1" t="n">
        <v>46299</v>
      </c>
      <c r="F135" t="inlineStr">
        <is>
          <t>NORRBOTTENS LÄN</t>
        </is>
      </c>
      <c r="G135" t="inlineStr">
        <is>
          <t>ARJEPLOG</t>
        </is>
      </c>
      <c r="I135" t="n">
        <v>19.8</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46299</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2026-10-04T01:59:30Z</dcterms:created>
  <dcterms:modified xmlns:dcterms="http://purl.org/dc/terms/" xmlns:xsi="http://www.w3.org/2001/XMLSchema-instance" xsi:type="dcterms:W3CDTF">2026-10-04T01:59:30Z</dcterms:modified>
</cp:coreProperties>
</file>