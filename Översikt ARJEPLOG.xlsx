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46254</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46254</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46254</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46254</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46254</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46254</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46254</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46254</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46254</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46254</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46254</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46254</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46254</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46254</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46254</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46254</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46254</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46254</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46254</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46254</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46254</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1478-2026</t>
        </is>
      </c>
      <c r="B29" t="inlineStr">
        <is>
          <t>avverkningsanmälan</t>
        </is>
      </c>
      <c r="C29" t="inlineStr">
        <is>
          <t>Föryngringsavverkning</t>
        </is>
      </c>
      <c r="D29" s="1" t="n">
        <v>46033</v>
      </c>
      <c r="E29" s="1" t="n">
        <v>46254</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4544-2024</t>
        </is>
      </c>
      <c r="B30" t="inlineStr">
        <is>
          <t>avverkningsanmälan</t>
        </is>
      </c>
      <c r="C30" t="inlineStr">
        <is>
          <t>Föryngringsavverkning</t>
        </is>
      </c>
      <c r="D30" s="1" t="n">
        <v>45327</v>
      </c>
      <c r="E30" s="1" t="n">
        <v>46254</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28351-2025</t>
        </is>
      </c>
      <c r="B31" t="inlineStr">
        <is>
          <t>avverkningsanmälan</t>
        </is>
      </c>
      <c r="C31" t="inlineStr">
        <is>
          <t>Föryngringsavverkning</t>
        </is>
      </c>
      <c r="D31" s="1" t="n">
        <v>45818</v>
      </c>
      <c r="E31" s="1" t="n">
        <v>46254</v>
      </c>
      <c r="F31" t="inlineStr">
        <is>
          <t>NORRBOTTENS LÄN</t>
        </is>
      </c>
      <c r="G31" t="inlineStr">
        <is>
          <t>ARJEPLOG</t>
        </is>
      </c>
      <c r="I31" t="n">
        <v>5.4</v>
      </c>
      <c r="J31" t="n">
        <v>0</v>
      </c>
      <c r="K31" t="n">
        <v>0</v>
      </c>
      <c r="L31" t="n">
        <v>6</v>
      </c>
      <c r="M31" t="n">
        <v>2</v>
      </c>
      <c r="N31" t="n">
        <v>0</v>
      </c>
      <c r="O31" t="n">
        <v>0</v>
      </c>
      <c r="P31" t="n">
        <v>0</v>
      </c>
      <c r="Q31" t="n">
        <v>8</v>
      </c>
      <c r="R31" t="n">
        <v>2</v>
      </c>
      <c r="S31" t="n">
        <v>8</v>
      </c>
      <c r="T31" t="n">
        <v>13</v>
      </c>
      <c r="U31" t="n">
        <v>13</v>
      </c>
      <c r="V31" s="2" t="inlineStr">
        <is>
          <t>Fläckporing
Garnlav
Blanksvart spiklav
Dropptaggsvamp
Dvärgbägarlav
Ullticka
Vedflamlav
Vedskivlav</t>
        </is>
      </c>
      <c r="W31">
        <f>HYPERLINK("https://klasma.github.io/Logging_2506/artfynd/A 28351-2025 artfynd.xlsx", "A 28351-2025")</f>
        <v/>
      </c>
      <c r="X31">
        <f>HYPERLINK("https://klasma.github.io/Logging_2506/kartor/A 28351-2025 karta.png", "A 28351-2025")</f>
        <v/>
      </c>
      <c r="Y31">
        <f>HYPERLINK("https://klasma.github.io/Logging_2506/kartor_geotiff/A 28351-2025 georefererad karta.tif", "A 28351-2025")</f>
        <v/>
      </c>
      <c r="AA31">
        <f>HYPERLINK("https://klasma.github.io/Logging_2506/klagomål/A 28351-2025 FSC-klagomål.docx", "A 28351-2025")</f>
        <v/>
      </c>
      <c r="AB31">
        <f>HYPERLINK("https://klasma.github.io/Logging_2506/klagomålsmail/A 28351-2025 FSC-klagomål mail.docx", "A 28351-2025")</f>
        <v/>
      </c>
      <c r="AC31">
        <f>HYPERLINK("https://klasma.github.io/Logging_2506/tillsyn/A 28351-2025 tillsynsbegäran.docx", "A 28351-2025")</f>
        <v/>
      </c>
      <c r="AD31">
        <f>HYPERLINK("https://klasma.github.io/Logging_2506/tillsynsmail/A 28351-2025 tillsynsbegäran mail.docx", "A 28351-2025")</f>
        <v/>
      </c>
    </row>
    <row r="32" ht="15" customHeight="1">
      <c r="A32" t="inlineStr">
        <is>
          <t>A 49079-2025</t>
        </is>
      </c>
      <c r="B32" t="inlineStr">
        <is>
          <t>avverkningsanmälan</t>
        </is>
      </c>
      <c r="C32" t="inlineStr">
        <is>
          <t>Föryngringsavverkning</t>
        </is>
      </c>
      <c r="D32" s="1" t="n">
        <v>45937</v>
      </c>
      <c r="E32" s="1" t="n">
        <v>46254</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46254</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46254</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46254</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46254</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46254</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46254</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46254</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46254</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46254</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46254</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20905-2025</t>
        </is>
      </c>
      <c r="B43" t="inlineStr">
        <is>
          <t>avverkningsanmälan</t>
        </is>
      </c>
      <c r="C43" t="inlineStr">
        <is>
          <t>Föryngringsavverkning</t>
        </is>
      </c>
      <c r="D43" s="1" t="n">
        <v>45777</v>
      </c>
      <c r="E43" s="1" t="n">
        <v>46254</v>
      </c>
      <c r="F43" t="inlineStr">
        <is>
          <t>NORRBOTTENS LÄN</t>
        </is>
      </c>
      <c r="G43" t="inlineStr">
        <is>
          <t>ARJEPLOG</t>
        </is>
      </c>
      <c r="I43" t="n">
        <v>10.6</v>
      </c>
      <c r="J43" t="n">
        <v>0</v>
      </c>
      <c r="K43" t="n">
        <v>0</v>
      </c>
      <c r="L43" t="n">
        <v>1</v>
      </c>
      <c r="M43" t="n">
        <v>0</v>
      </c>
      <c r="N43" t="n">
        <v>0</v>
      </c>
      <c r="O43" t="n">
        <v>0</v>
      </c>
      <c r="P43" t="n">
        <v>0</v>
      </c>
      <c r="Q43" t="n">
        <v>1</v>
      </c>
      <c r="R43" t="n">
        <v>0</v>
      </c>
      <c r="S43" t="n">
        <v>1</v>
      </c>
      <c r="T43" t="n">
        <v>1</v>
      </c>
      <c r="U43" t="n">
        <v>0</v>
      </c>
      <c r="V43" s="2" t="inlineStr">
        <is>
          <t>Vitfläckig guldvinge</t>
        </is>
      </c>
      <c r="W43">
        <f>HYPERLINK("https://klasma.github.io/Logging_2506/artfynd/A 20905-2025 artfynd.xlsx", "A 20905-2025")</f>
        <v/>
      </c>
      <c r="X43">
        <f>HYPERLINK("https://klasma.github.io/Logging_2506/kartor/A 20905-2025 karta.png", "A 20905-2025")</f>
        <v/>
      </c>
      <c r="Y43">
        <f>HYPERLINK("https://klasma.github.io/Logging_2506/kartor_geotiff/A 20905-2025 georefererad karta.tif", "A 20905-2025")</f>
        <v/>
      </c>
      <c r="AA43">
        <f>HYPERLINK("https://klasma.github.io/Logging_2506/klagomål/A 20905-2025 FSC-klagomål.docx", "A 20905-2025")</f>
        <v/>
      </c>
      <c r="AB43">
        <f>HYPERLINK("https://klasma.github.io/Logging_2506/klagomålsmail/A 20905-2025 FSC-klagomål mail.docx", "A 20905-2025")</f>
        <v/>
      </c>
      <c r="AC43">
        <f>HYPERLINK("https://klasma.github.io/Logging_2506/tillsyn/A 20905-2025 tillsynsbegäran.docx", "A 20905-2025")</f>
        <v/>
      </c>
      <c r="AD43">
        <f>HYPERLINK("https://klasma.github.io/Logging_2506/tillsynsmail/A 20905-2025 tillsynsbegäran mail.docx", "A 20905-2025")</f>
        <v/>
      </c>
    </row>
    <row r="44" ht="15" customHeight="1">
      <c r="A44" t="inlineStr">
        <is>
          <t>A 10476-2026</t>
        </is>
      </c>
      <c r="B44" t="inlineStr">
        <is>
          <t>avverkningsanmälan</t>
        </is>
      </c>
      <c r="C44" t="inlineStr">
        <is>
          <t>Föryngringsavverkning</t>
        </is>
      </c>
      <c r="D44" s="1" t="n">
        <v>46076</v>
      </c>
      <c r="E44" s="1" t="n">
        <v>46254</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17549-2023</t>
        </is>
      </c>
      <c r="B45" t="inlineStr">
        <is>
          <t>avverkningsanmälan</t>
        </is>
      </c>
      <c r="C45" t="inlineStr">
        <is>
          <t>Föryngringsavverkning</t>
        </is>
      </c>
      <c r="D45" s="1" t="n">
        <v>45034</v>
      </c>
      <c r="E45" s="1" t="n">
        <v>46254</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46254</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66844-2021</t>
        </is>
      </c>
      <c r="B47" t="inlineStr">
        <is>
          <t>avverkningsanmälan</t>
        </is>
      </c>
      <c r="C47" t="inlineStr">
        <is>
          <t>Föryngringsavverkning</t>
        </is>
      </c>
      <c r="D47" s="1" t="n">
        <v>44520</v>
      </c>
      <c r="E47" s="1" t="n">
        <v>46254</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46254</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46254</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46254</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46254</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46254</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46254</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46254</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46254</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46254</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46254</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46254</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55266-2024</t>
        </is>
      </c>
      <c r="B59" t="inlineStr">
        <is>
          <t>avverkningsanmälan</t>
        </is>
      </c>
      <c r="C59" t="inlineStr">
        <is>
          <t>Föryngringsavverkning</t>
        </is>
      </c>
      <c r="D59" s="1" t="n">
        <v>45621</v>
      </c>
      <c r="E59" s="1" t="n">
        <v>46254</v>
      </c>
      <c r="F59" t="inlineStr">
        <is>
          <t>NORRBOTTENS LÄN</t>
        </is>
      </c>
      <c r="G59" t="inlineStr">
        <is>
          <t>ARJEPLOG</t>
        </is>
      </c>
      <c r="I59" t="n">
        <v>11.3</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46254</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46254</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46254</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46254</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3006-2024</t>
        </is>
      </c>
      <c r="B64" t="inlineStr">
        <is>
          <t>avverkningsanmälan</t>
        </is>
      </c>
      <c r="C64" t="inlineStr">
        <is>
          <t>Föryngringsavverkning</t>
        </is>
      </c>
      <c r="D64" s="1" t="n">
        <v>45315</v>
      </c>
      <c r="E64" s="1" t="n">
        <v>46254</v>
      </c>
      <c r="F64" t="inlineStr">
        <is>
          <t>NORRBOTTENS LÄN</t>
        </is>
      </c>
      <c r="G64" t="inlineStr">
        <is>
          <t>ARJEPLOG</t>
        </is>
      </c>
      <c r="I64" t="n">
        <v>9.1</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46254</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23949-2024</t>
        </is>
      </c>
      <c r="B66" t="inlineStr">
        <is>
          <t>avverkningsanmälan</t>
        </is>
      </c>
      <c r="C66" t="inlineStr">
        <is>
          <t>Föryngringsavverkning</t>
        </is>
      </c>
      <c r="D66" s="1" t="n">
        <v>45455</v>
      </c>
      <c r="E66" s="1" t="n">
        <v>46254</v>
      </c>
      <c r="F66" t="inlineStr">
        <is>
          <t>NORRBOTTENS LÄN</t>
        </is>
      </c>
      <c r="G66" t="inlineStr">
        <is>
          <t>ARJEPLOG</t>
        </is>
      </c>
      <c r="H66" t="inlineStr">
        <is>
          <t>SCA</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54589-2021</t>
        </is>
      </c>
      <c r="B67" t="inlineStr">
        <is>
          <t>avverkningsanmälan</t>
        </is>
      </c>
      <c r="C67" t="inlineStr">
        <is>
          <t>Föryngringsavverkning</t>
        </is>
      </c>
      <c r="D67" s="1" t="n">
        <v>44473</v>
      </c>
      <c r="E67" s="1" t="n">
        <v>46254</v>
      </c>
      <c r="F67" t="inlineStr">
        <is>
          <t>NORRBOTTENS LÄN</t>
        </is>
      </c>
      <c r="G67" t="inlineStr">
        <is>
          <t>ARJEPLOG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20789-2022</t>
        </is>
      </c>
      <c r="B68" t="inlineStr">
        <is>
          <t>avverkningsanmälan</t>
        </is>
      </c>
      <c r="C68" t="inlineStr">
        <is>
          <t>Föryngringsavverkning</t>
        </is>
      </c>
      <c r="D68" s="1" t="n">
        <v>44701</v>
      </c>
      <c r="E68" s="1" t="n">
        <v>46254</v>
      </c>
      <c r="F68" t="inlineStr">
        <is>
          <t>NORRBOTTENS LÄN</t>
        </is>
      </c>
      <c r="G68" t="inlineStr">
        <is>
          <t>ARJEPLOG</t>
        </is>
      </c>
      <c r="I68" t="n">
        <v>20.3</v>
      </c>
      <c r="J68" t="n">
        <v>0</v>
      </c>
      <c r="K68" t="n">
        <v>0</v>
      </c>
      <c r="L68" t="n">
        <v>0</v>
      </c>
      <c r="M68" t="n">
        <v>0</v>
      </c>
      <c r="N68" t="n">
        <v>0</v>
      </c>
      <c r="O68" t="n">
        <v>0</v>
      </c>
      <c r="P68" t="n">
        <v>0</v>
      </c>
      <c r="Q68" t="n">
        <v>0</v>
      </c>
      <c r="R68" t="n">
        <v>0</v>
      </c>
      <c r="S68" t="n">
        <v>0</v>
      </c>
      <c r="T68" t="n">
        <v>0</v>
      </c>
      <c r="U68" t="n">
        <v>0</v>
      </c>
      <c r="V68" s="2" t="inlineStr"/>
    </row>
    <row r="69" ht="15" customHeight="1">
      <c r="A69" t="inlineStr">
        <is>
          <t>A 20322-2026</t>
        </is>
      </c>
      <c r="B69" t="inlineStr">
        <is>
          <t>avverkningsanmälan</t>
        </is>
      </c>
      <c r="C69" t="inlineStr">
        <is>
          <t>Föryngringsavverkning</t>
        </is>
      </c>
      <c r="D69" s="1" t="n">
        <v>46139</v>
      </c>
      <c r="E69" s="1" t="n">
        <v>46254</v>
      </c>
      <c r="F69" t="inlineStr">
        <is>
          <t>NORRBOTTENS LÄN</t>
        </is>
      </c>
      <c r="G69" t="inlineStr">
        <is>
          <t>ARJEPLOG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26486-2024</t>
        </is>
      </c>
      <c r="B70" t="inlineStr">
        <is>
          <t>avverkningsanmälan</t>
        </is>
      </c>
      <c r="C70" t="inlineStr">
        <is>
          <t>Föryngringsavverkning</t>
        </is>
      </c>
      <c r="D70" s="1" t="n">
        <v>45469</v>
      </c>
      <c r="E70" s="1" t="n">
        <v>46254</v>
      </c>
      <c r="F70" t="inlineStr">
        <is>
          <t>NORRBOTTENS LÄN</t>
        </is>
      </c>
      <c r="G70" t="inlineStr">
        <is>
          <t>ARJEPLOG</t>
        </is>
      </c>
      <c r="I70" t="n">
        <v>7.1</v>
      </c>
      <c r="J70" t="n">
        <v>0</v>
      </c>
      <c r="K70" t="n">
        <v>0</v>
      </c>
      <c r="L70" t="n">
        <v>0</v>
      </c>
      <c r="M70" t="n">
        <v>0</v>
      </c>
      <c r="N70" t="n">
        <v>0</v>
      </c>
      <c r="O70" t="n">
        <v>0</v>
      </c>
      <c r="P70" t="n">
        <v>0</v>
      </c>
      <c r="Q70" t="n">
        <v>0</v>
      </c>
      <c r="R70" t="n">
        <v>0</v>
      </c>
      <c r="S70" t="n">
        <v>0</v>
      </c>
      <c r="T70" t="n">
        <v>0</v>
      </c>
      <c r="U70" t="n">
        <v>0</v>
      </c>
      <c r="V70" s="2" t="inlineStr"/>
    </row>
    <row r="71" ht="15" customHeight="1">
      <c r="A71" t="inlineStr">
        <is>
          <t>A 26472-2024</t>
        </is>
      </c>
      <c r="B71" t="inlineStr">
        <is>
          <t>avverkningsanmälan</t>
        </is>
      </c>
      <c r="C71" t="inlineStr">
        <is>
          <t>Föryngringsavverkning</t>
        </is>
      </c>
      <c r="D71" s="1" t="n">
        <v>45469</v>
      </c>
      <c r="E71" s="1" t="n">
        <v>46254</v>
      </c>
      <c r="F71" t="inlineStr">
        <is>
          <t>NORRBOTTENS LÄN</t>
        </is>
      </c>
      <c r="G71" t="inlineStr">
        <is>
          <t>ARJEPLOG</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35627-2025</t>
        </is>
      </c>
      <c r="B72" t="inlineStr">
        <is>
          <t>avverkningsanmälan</t>
        </is>
      </c>
      <c r="C72" t="inlineStr">
        <is>
          <t>Föryngringsavverkning</t>
        </is>
      </c>
      <c r="D72" s="1" t="n">
        <v>45859</v>
      </c>
      <c r="E72" s="1" t="n">
        <v>46254</v>
      </c>
      <c r="F72" t="inlineStr">
        <is>
          <t>NORRBOTTENS LÄN</t>
        </is>
      </c>
      <c r="G72" t="inlineStr">
        <is>
          <t>ARJEPLOG</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27092-2022</t>
        </is>
      </c>
      <c r="B73" t="inlineStr">
        <is>
          <t>avverkningsanmälan</t>
        </is>
      </c>
      <c r="C73" t="inlineStr">
        <is>
          <t>Föryngringsavverkning</t>
        </is>
      </c>
      <c r="D73" s="1" t="n">
        <v>44741</v>
      </c>
      <c r="E73" s="1" t="n">
        <v>46254</v>
      </c>
      <c r="F73" t="inlineStr">
        <is>
          <t>NORRBOTTENS LÄN</t>
        </is>
      </c>
      <c r="G73" t="inlineStr">
        <is>
          <t>ARJEPLOG</t>
        </is>
      </c>
      <c r="I73" t="n">
        <v>15.6</v>
      </c>
      <c r="J73" t="n">
        <v>0</v>
      </c>
      <c r="K73" t="n">
        <v>0</v>
      </c>
      <c r="L73" t="n">
        <v>0</v>
      </c>
      <c r="M73" t="n">
        <v>0</v>
      </c>
      <c r="N73" t="n">
        <v>0</v>
      </c>
      <c r="O73" t="n">
        <v>0</v>
      </c>
      <c r="P73" t="n">
        <v>0</v>
      </c>
      <c r="Q73" t="n">
        <v>0</v>
      </c>
      <c r="R73" t="n">
        <v>0</v>
      </c>
      <c r="S73" t="n">
        <v>0</v>
      </c>
      <c r="T73" t="n">
        <v>0</v>
      </c>
      <c r="U73" t="n">
        <v>0</v>
      </c>
      <c r="V73" s="2" t="inlineStr"/>
    </row>
    <row r="74" ht="15" customHeight="1">
      <c r="A74" t="inlineStr">
        <is>
          <t>A 42331-2025</t>
        </is>
      </c>
      <c r="B74" t="inlineStr">
        <is>
          <t>avverkningsanmälan</t>
        </is>
      </c>
      <c r="C74" t="inlineStr">
        <is>
          <t>Föryngringsavverkning</t>
        </is>
      </c>
      <c r="D74" s="1" t="n">
        <v>45903</v>
      </c>
      <c r="E74" s="1" t="n">
        <v>46254</v>
      </c>
      <c r="F74" t="inlineStr">
        <is>
          <t>NORRBOTTENS LÄN</t>
        </is>
      </c>
      <c r="G74" t="inlineStr">
        <is>
          <t>ARJEPLOG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42597-2025</t>
        </is>
      </c>
      <c r="B75" t="inlineStr">
        <is>
          <t>avverkningsanmälan</t>
        </is>
      </c>
      <c r="C75" t="inlineStr">
        <is>
          <t>Föryngringsavverkning</t>
        </is>
      </c>
      <c r="D75" s="1" t="n">
        <v>45905</v>
      </c>
      <c r="E75" s="1" t="n">
        <v>46254</v>
      </c>
      <c r="F75" t="inlineStr">
        <is>
          <t>NORRBOTTENS LÄN</t>
        </is>
      </c>
      <c r="G75" t="inlineStr">
        <is>
          <t>ARJEPLOG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42526-2025</t>
        </is>
      </c>
      <c r="B76" t="inlineStr">
        <is>
          <t>avverkningsanmälan</t>
        </is>
      </c>
      <c r="C76" t="inlineStr">
        <is>
          <t>Föryngringsavverkning</t>
        </is>
      </c>
      <c r="D76" s="1" t="n">
        <v>45905</v>
      </c>
      <c r="E76" s="1" t="n">
        <v>46254</v>
      </c>
      <c r="F76" t="inlineStr">
        <is>
          <t>NORRBOTTENS LÄN</t>
        </is>
      </c>
      <c r="G76" t="inlineStr">
        <is>
          <t>ARJEPLOG</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29674-2025</t>
        </is>
      </c>
      <c r="B77" t="inlineStr">
        <is>
          <t>avverkningsanmälan</t>
        </is>
      </c>
      <c r="C77" t="inlineStr">
        <is>
          <t>Föryngringsavverkning</t>
        </is>
      </c>
      <c r="D77" s="1" t="n">
        <v>45825</v>
      </c>
      <c r="E77" s="1" t="n">
        <v>46254</v>
      </c>
      <c r="F77" t="inlineStr">
        <is>
          <t>NORRBOTTENS LÄN</t>
        </is>
      </c>
      <c r="G77" t="inlineStr">
        <is>
          <t>ARJEPLOG</t>
        </is>
      </c>
      <c r="H77" t="inlineStr">
        <is>
          <t>Allmännings- och besparingsskogar</t>
        </is>
      </c>
      <c r="I77" t="n">
        <v>25.1</v>
      </c>
      <c r="J77" t="n">
        <v>0</v>
      </c>
      <c r="K77" t="n">
        <v>0</v>
      </c>
      <c r="L77" t="n">
        <v>0</v>
      </c>
      <c r="M77" t="n">
        <v>0</v>
      </c>
      <c r="N77" t="n">
        <v>0</v>
      </c>
      <c r="O77" t="n">
        <v>0</v>
      </c>
      <c r="P77" t="n">
        <v>0</v>
      </c>
      <c r="Q77" t="n">
        <v>0</v>
      </c>
      <c r="R77" t="n">
        <v>0</v>
      </c>
      <c r="S77" t="n">
        <v>0</v>
      </c>
      <c r="T77" t="n">
        <v>0</v>
      </c>
      <c r="U77" t="n">
        <v>0</v>
      </c>
      <c r="V77" s="2" t="inlineStr"/>
    </row>
    <row r="78" ht="15" customHeight="1">
      <c r="A78" t="inlineStr">
        <is>
          <t>A 64816-2023</t>
        </is>
      </c>
      <c r="B78" t="inlineStr">
        <is>
          <t>avverkningsanmälan</t>
        </is>
      </c>
      <c r="C78" t="inlineStr">
        <is>
          <t>Föryngringsavverkning</t>
        </is>
      </c>
      <c r="D78" s="1" t="n">
        <v>45281</v>
      </c>
      <c r="E78" s="1" t="n">
        <v>46254</v>
      </c>
      <c r="F78" t="inlineStr">
        <is>
          <t>NORRBOTTENS LÄN</t>
        </is>
      </c>
      <c r="G78" t="inlineStr">
        <is>
          <t>ARJEPLOG</t>
        </is>
      </c>
      <c r="I78" t="n">
        <v>13.4</v>
      </c>
      <c r="J78" t="n">
        <v>0</v>
      </c>
      <c r="K78" t="n">
        <v>0</v>
      </c>
      <c r="L78" t="n">
        <v>0</v>
      </c>
      <c r="M78" t="n">
        <v>0</v>
      </c>
      <c r="N78" t="n">
        <v>0</v>
      </c>
      <c r="O78" t="n">
        <v>0</v>
      </c>
      <c r="P78" t="n">
        <v>0</v>
      </c>
      <c r="Q78" t="n">
        <v>0</v>
      </c>
      <c r="R78" t="n">
        <v>0</v>
      </c>
      <c r="S78" t="n">
        <v>0</v>
      </c>
      <c r="T78" t="n">
        <v>0</v>
      </c>
      <c r="U78" t="n">
        <v>0</v>
      </c>
      <c r="V78" s="2" t="inlineStr"/>
    </row>
    <row r="79" ht="15" customHeight="1">
      <c r="A79" t="inlineStr">
        <is>
          <t>A 23330-2026</t>
        </is>
      </c>
      <c r="B79" t="inlineStr">
        <is>
          <t>avverkningsanmälan</t>
        </is>
      </c>
      <c r="C79" t="inlineStr">
        <is>
          <t>Föryngringsavverkning</t>
        </is>
      </c>
      <c r="D79" s="1" t="n">
        <v>46162</v>
      </c>
      <c r="E79" s="1" t="n">
        <v>46254</v>
      </c>
      <c r="F79" t="inlineStr">
        <is>
          <t>NORRBOTTENS LÄN</t>
        </is>
      </c>
      <c r="G79" t="inlineStr">
        <is>
          <t>ARJEPLOG</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23335-2026</t>
        </is>
      </c>
      <c r="B80" t="inlineStr">
        <is>
          <t>avverkningsanmälan</t>
        </is>
      </c>
      <c r="C80" t="inlineStr">
        <is>
          <t>Föryngringsavverkning</t>
        </is>
      </c>
      <c r="D80" s="1" t="n">
        <v>46162</v>
      </c>
      <c r="E80" s="1" t="n">
        <v>46254</v>
      </c>
      <c r="F80" t="inlineStr">
        <is>
          <t>NORRBOTTENS LÄN</t>
        </is>
      </c>
      <c r="G80" t="inlineStr">
        <is>
          <t>ARJEPLOG</t>
        </is>
      </c>
      <c r="I80" t="n">
        <v>7.7</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46254</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50255-2023</t>
        </is>
      </c>
      <c r="B82" t="inlineStr">
        <is>
          <t>avverkningsanmälan</t>
        </is>
      </c>
      <c r="C82" t="inlineStr">
        <is>
          <t>Föryngringsavverkning</t>
        </is>
      </c>
      <c r="D82" s="1" t="n">
        <v>45216</v>
      </c>
      <c r="E82" s="1" t="n">
        <v>46254</v>
      </c>
      <c r="F82" t="inlineStr">
        <is>
          <t>NORRBOTTENS LÄN</t>
        </is>
      </c>
      <c r="G82" t="inlineStr">
        <is>
          <t>ARJEPLOG</t>
        </is>
      </c>
      <c r="I82" t="n">
        <v>20</v>
      </c>
      <c r="J82" t="n">
        <v>0</v>
      </c>
      <c r="K82" t="n">
        <v>0</v>
      </c>
      <c r="L82" t="n">
        <v>0</v>
      </c>
      <c r="M82" t="n">
        <v>0</v>
      </c>
      <c r="N82" t="n">
        <v>0</v>
      </c>
      <c r="O82" t="n">
        <v>0</v>
      </c>
      <c r="P82" t="n">
        <v>0</v>
      </c>
      <c r="Q82" t="n">
        <v>0</v>
      </c>
      <c r="R82" t="n">
        <v>0</v>
      </c>
      <c r="S82" t="n">
        <v>0</v>
      </c>
      <c r="T82" t="n">
        <v>0</v>
      </c>
      <c r="U82" t="n">
        <v>0</v>
      </c>
      <c r="V82" s="2" t="inlineStr"/>
    </row>
    <row r="83" ht="15" customHeight="1">
      <c r="A83" t="inlineStr">
        <is>
          <t>A 46747-2025</t>
        </is>
      </c>
      <c r="B83" t="inlineStr">
        <is>
          <t>avverkningsanmälan</t>
        </is>
      </c>
      <c r="C83" t="inlineStr">
        <is>
          <t>Föryngringsavverkning</t>
        </is>
      </c>
      <c r="D83" s="1" t="n">
        <v>45926</v>
      </c>
      <c r="E83" s="1" t="n">
        <v>46254</v>
      </c>
      <c r="F83" t="inlineStr">
        <is>
          <t>NORRBOTTENS LÄN</t>
        </is>
      </c>
      <c r="G83" t="inlineStr">
        <is>
          <t>ARJEPLOG</t>
        </is>
      </c>
      <c r="I83" t="n">
        <v>19.7</v>
      </c>
      <c r="J83" t="n">
        <v>0</v>
      </c>
      <c r="K83" t="n">
        <v>0</v>
      </c>
      <c r="L83" t="n">
        <v>0</v>
      </c>
      <c r="M83" t="n">
        <v>0</v>
      </c>
      <c r="N83" t="n">
        <v>0</v>
      </c>
      <c r="O83" t="n">
        <v>0</v>
      </c>
      <c r="P83" t="n">
        <v>0</v>
      </c>
      <c r="Q83" t="n">
        <v>0</v>
      </c>
      <c r="R83" t="n">
        <v>0</v>
      </c>
      <c r="S83" t="n">
        <v>0</v>
      </c>
      <c r="T83" t="n">
        <v>0</v>
      </c>
      <c r="U83" t="n">
        <v>0</v>
      </c>
      <c r="V83" s="2" t="inlineStr"/>
    </row>
    <row r="84" ht="15" customHeight="1">
      <c r="A84" t="inlineStr">
        <is>
          <t>A 44218-2023</t>
        </is>
      </c>
      <c r="B84" t="inlineStr">
        <is>
          <t>avverkningsanmälan</t>
        </is>
      </c>
      <c r="C84" t="inlineStr">
        <is>
          <t>Avverkning för annat ändamål</t>
        </is>
      </c>
      <c r="D84" s="1" t="n">
        <v>45183</v>
      </c>
      <c r="E84" s="1" t="n">
        <v>46254</v>
      </c>
      <c r="F84" t="inlineStr">
        <is>
          <t>NORRBOTTENS LÄN</t>
        </is>
      </c>
      <c r="G84" t="inlineStr">
        <is>
          <t>ARJEPLOG</t>
        </is>
      </c>
      <c r="H84" t="inlineStr">
        <is>
          <t>Allmännings- och besparingsskogar</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53822-2024</t>
        </is>
      </c>
      <c r="B85" t="inlineStr">
        <is>
          <t>avverkningsanmälan</t>
        </is>
      </c>
      <c r="C85" t="inlineStr">
        <is>
          <t>Föryngringsavverkning</t>
        </is>
      </c>
      <c r="D85" s="1" t="n">
        <v>45614</v>
      </c>
      <c r="E85" s="1" t="n">
        <v>46254</v>
      </c>
      <c r="F85" t="inlineStr">
        <is>
          <t>NORRBOTTENS LÄN</t>
        </is>
      </c>
      <c r="G85" t="inlineStr">
        <is>
          <t>ARJEPLOG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26479-2024</t>
        </is>
      </c>
      <c r="B86" t="inlineStr">
        <is>
          <t>avverkningsanmälan</t>
        </is>
      </c>
      <c r="C86" t="inlineStr">
        <is>
          <t>Föryngringsavverkning</t>
        </is>
      </c>
      <c r="D86" s="1" t="n">
        <v>45468</v>
      </c>
      <c r="E86" s="1" t="n">
        <v>46254</v>
      </c>
      <c r="F86" t="inlineStr">
        <is>
          <t>NORRBOTTENS LÄN</t>
        </is>
      </c>
      <c r="G86" t="inlineStr">
        <is>
          <t>ARJEPLOG</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56754-2024</t>
        </is>
      </c>
      <c r="B87" t="inlineStr">
        <is>
          <t>avverkningsanmälan</t>
        </is>
      </c>
      <c r="C87" t="inlineStr">
        <is>
          <t>Föryngringsavverkning</t>
        </is>
      </c>
      <c r="D87" s="1" t="n">
        <v>45625</v>
      </c>
      <c r="E87" s="1" t="n">
        <v>46254</v>
      </c>
      <c r="F87" t="inlineStr">
        <is>
          <t>NORRBOTTENS LÄN</t>
        </is>
      </c>
      <c r="G87" t="inlineStr">
        <is>
          <t>ARJEPLOG</t>
        </is>
      </c>
      <c r="I87" t="n">
        <v>11.5</v>
      </c>
      <c r="J87" t="n">
        <v>0</v>
      </c>
      <c r="K87" t="n">
        <v>0</v>
      </c>
      <c r="L87" t="n">
        <v>0</v>
      </c>
      <c r="M87" t="n">
        <v>0</v>
      </c>
      <c r="N87" t="n">
        <v>0</v>
      </c>
      <c r="O87" t="n">
        <v>0</v>
      </c>
      <c r="P87" t="n">
        <v>0</v>
      </c>
      <c r="Q87" t="n">
        <v>0</v>
      </c>
      <c r="R87" t="n">
        <v>0</v>
      </c>
      <c r="S87" t="n">
        <v>0</v>
      </c>
      <c r="T87" t="n">
        <v>0</v>
      </c>
      <c r="U87" t="n">
        <v>0</v>
      </c>
      <c r="V87" s="2" t="inlineStr"/>
    </row>
    <row r="88" ht="15" customHeight="1">
      <c r="A88" t="inlineStr">
        <is>
          <t>A 26048-2026</t>
        </is>
      </c>
      <c r="B88" t="inlineStr">
        <is>
          <t>avverkningsanmälan</t>
        </is>
      </c>
      <c r="C88" t="inlineStr">
        <is>
          <t>Föryngringsavverkning</t>
        </is>
      </c>
      <c r="D88" s="1" t="n">
        <v>46181</v>
      </c>
      <c r="E88" s="1" t="n">
        <v>46254</v>
      </c>
      <c r="F88" t="inlineStr">
        <is>
          <t>NORRBOTTENS LÄN</t>
        </is>
      </c>
      <c r="G88" t="inlineStr">
        <is>
          <t>ARJEPLOG</t>
        </is>
      </c>
      <c r="I88" t="n">
        <v>16.9</v>
      </c>
      <c r="J88" t="n">
        <v>0</v>
      </c>
      <c r="K88" t="n">
        <v>0</v>
      </c>
      <c r="L88" t="n">
        <v>0</v>
      </c>
      <c r="M88" t="n">
        <v>0</v>
      </c>
      <c r="N88" t="n">
        <v>0</v>
      </c>
      <c r="O88" t="n">
        <v>0</v>
      </c>
      <c r="P88" t="n">
        <v>0</v>
      </c>
      <c r="Q88" t="n">
        <v>0</v>
      </c>
      <c r="R88" t="n">
        <v>0</v>
      </c>
      <c r="S88" t="n">
        <v>0</v>
      </c>
      <c r="T88" t="n">
        <v>0</v>
      </c>
      <c r="U88" t="n">
        <v>0</v>
      </c>
      <c r="V88" s="2" t="inlineStr"/>
    </row>
    <row r="89" ht="15" customHeight="1">
      <c r="A89" t="inlineStr">
        <is>
          <t>A 48987-2025</t>
        </is>
      </c>
      <c r="B89" t="inlineStr">
        <is>
          <t>avverkningsanmälan</t>
        </is>
      </c>
      <c r="C89" t="inlineStr">
        <is>
          <t>Avverkning för annat ändamål</t>
        </is>
      </c>
      <c r="D89" s="1" t="n">
        <v>45937</v>
      </c>
      <c r="E89" s="1" t="n">
        <v>46254</v>
      </c>
      <c r="F89" t="inlineStr">
        <is>
          <t>NORRBOTTENS LÄN</t>
        </is>
      </c>
      <c r="G89" t="inlineStr">
        <is>
          <t>ARJEPLOG</t>
        </is>
      </c>
      <c r="H89" t="inlineStr">
        <is>
          <t>Sveaskog</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61729-2024</t>
        </is>
      </c>
      <c r="B90" t="inlineStr">
        <is>
          <t>avverkningsanmälan</t>
        </is>
      </c>
      <c r="C90" t="inlineStr">
        <is>
          <t>Avverkning för annat ändamål</t>
        </is>
      </c>
      <c r="D90" s="1" t="n">
        <v>45649</v>
      </c>
      <c r="E90" s="1" t="n">
        <v>46254</v>
      </c>
      <c r="F90" t="inlineStr">
        <is>
          <t>NORRBOTTENS LÄN</t>
        </is>
      </c>
      <c r="G90" t="inlineStr">
        <is>
          <t>ARJEPLOG</t>
        </is>
      </c>
      <c r="H90" t="inlineStr">
        <is>
          <t>Övriga statliga verk och myndigheter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27102-2026</t>
        </is>
      </c>
      <c r="B91" t="inlineStr">
        <is>
          <t>avverkningsanmälan</t>
        </is>
      </c>
      <c r="C91" t="inlineStr">
        <is>
          <t>Avverkning för annat ändamål</t>
        </is>
      </c>
      <c r="D91" s="1" t="n">
        <v>46188</v>
      </c>
      <c r="E91" s="1" t="n">
        <v>46254</v>
      </c>
      <c r="F91" t="inlineStr">
        <is>
          <t>NORRBOTTENS LÄN</t>
        </is>
      </c>
      <c r="G91" t="inlineStr">
        <is>
          <t>ARJEPLOG</t>
        </is>
      </c>
      <c r="H91" t="inlineStr">
        <is>
          <t>Sveaskog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26811-2022</t>
        </is>
      </c>
      <c r="B92" t="inlineStr">
        <is>
          <t>avverkningsanmälan</t>
        </is>
      </c>
      <c r="C92" t="inlineStr">
        <is>
          <t>Avverkning för annat ändamål</t>
        </is>
      </c>
      <c r="D92" s="1" t="n">
        <v>44735</v>
      </c>
      <c r="E92" s="1" t="n">
        <v>46254</v>
      </c>
      <c r="F92" t="inlineStr">
        <is>
          <t>NORRBOTTENS LÄN</t>
        </is>
      </c>
      <c r="G92" t="inlineStr">
        <is>
          <t>ARJEPLOG</t>
        </is>
      </c>
      <c r="H92" t="inlineStr">
        <is>
          <t>Övriga statliga verk och myndigheter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28532-2026</t>
        </is>
      </c>
      <c r="B93" t="inlineStr">
        <is>
          <t>avverkningsanmälan</t>
        </is>
      </c>
      <c r="C93" t="inlineStr">
        <is>
          <t>Avverkning för annat ändamål</t>
        </is>
      </c>
      <c r="D93" s="1" t="n">
        <v>46197</v>
      </c>
      <c r="E93" s="1" t="n">
        <v>46254</v>
      </c>
      <c r="F93" t="inlineStr">
        <is>
          <t>NORRBOTTENS LÄN</t>
        </is>
      </c>
      <c r="G93" t="inlineStr">
        <is>
          <t>ARJEPLOG</t>
        </is>
      </c>
      <c r="H93" t="inlineStr">
        <is>
          <t>Allmännings- och besparingsskogar</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28551-2026</t>
        </is>
      </c>
      <c r="B94" t="inlineStr">
        <is>
          <t>avverkningsanmälan</t>
        </is>
      </c>
      <c r="C94" t="inlineStr">
        <is>
          <t>Föryngringsavverkning</t>
        </is>
      </c>
      <c r="D94" s="1" t="n">
        <v>46197</v>
      </c>
      <c r="E94" s="1" t="n">
        <v>46254</v>
      </c>
      <c r="F94" t="inlineStr">
        <is>
          <t>NORRBOTTENS LÄN</t>
        </is>
      </c>
      <c r="G94" t="inlineStr">
        <is>
          <t>ARJEPLOG</t>
        </is>
      </c>
      <c r="H94" t="inlineStr">
        <is>
          <t>Allmännings- och besparingsskogar</t>
        </is>
      </c>
      <c r="I94" t="n">
        <v>22.9</v>
      </c>
      <c r="J94" t="n">
        <v>0</v>
      </c>
      <c r="K94" t="n">
        <v>0</v>
      </c>
      <c r="L94" t="n">
        <v>0</v>
      </c>
      <c r="M94" t="n">
        <v>0</v>
      </c>
      <c r="N94" t="n">
        <v>0</v>
      </c>
      <c r="O94" t="n">
        <v>0</v>
      </c>
      <c r="P94" t="n">
        <v>0</v>
      </c>
      <c r="Q94" t="n">
        <v>0</v>
      </c>
      <c r="R94" t="n">
        <v>0</v>
      </c>
      <c r="S94" t="n">
        <v>0</v>
      </c>
      <c r="T94" t="n">
        <v>0</v>
      </c>
      <c r="U94" t="n">
        <v>0</v>
      </c>
      <c r="V94" s="2" t="inlineStr"/>
    </row>
    <row r="95" ht="15" customHeight="1">
      <c r="A95" t="inlineStr">
        <is>
          <t>A 28787-2026</t>
        </is>
      </c>
      <c r="B95" t="inlineStr">
        <is>
          <t>avverkningsanmälan</t>
        </is>
      </c>
      <c r="C95" t="inlineStr">
        <is>
          <t>Föryngringsavverkning</t>
        </is>
      </c>
      <c r="D95" s="1" t="n">
        <v>46198</v>
      </c>
      <c r="E95" s="1" t="n">
        <v>46254</v>
      </c>
      <c r="F95" t="inlineStr">
        <is>
          <t>NORRBOTTENS LÄN</t>
        </is>
      </c>
      <c r="G95" t="inlineStr">
        <is>
          <t>ARJEPLOG</t>
        </is>
      </c>
      <c r="H95" t="inlineStr">
        <is>
          <t>Allmännings- och besparingsskogar</t>
        </is>
      </c>
      <c r="I95" t="n">
        <v>13.3</v>
      </c>
      <c r="J95" t="n">
        <v>0</v>
      </c>
      <c r="K95" t="n">
        <v>0</v>
      </c>
      <c r="L95" t="n">
        <v>0</v>
      </c>
      <c r="M95" t="n">
        <v>0</v>
      </c>
      <c r="N95" t="n">
        <v>0</v>
      </c>
      <c r="O95" t="n">
        <v>0</v>
      </c>
      <c r="P95" t="n">
        <v>0</v>
      </c>
      <c r="Q95" t="n">
        <v>0</v>
      </c>
      <c r="R95" t="n">
        <v>0</v>
      </c>
      <c r="S95" t="n">
        <v>0</v>
      </c>
      <c r="T95" t="n">
        <v>0</v>
      </c>
      <c r="U95" t="n">
        <v>0</v>
      </c>
      <c r="V95" s="2" t="inlineStr"/>
    </row>
    <row r="96" ht="15" customHeight="1">
      <c r="A96" t="inlineStr">
        <is>
          <t>A 28799-2026</t>
        </is>
      </c>
      <c r="B96" t="inlineStr">
        <is>
          <t>avverkningsanmälan</t>
        </is>
      </c>
      <c r="C96" t="inlineStr">
        <is>
          <t>Föryngringsavverkning</t>
        </is>
      </c>
      <c r="D96" s="1" t="n">
        <v>46198</v>
      </c>
      <c r="E96" s="1" t="n">
        <v>46254</v>
      </c>
      <c r="F96" t="inlineStr">
        <is>
          <t>NORRBOTTENS LÄN</t>
        </is>
      </c>
      <c r="G96" t="inlineStr">
        <is>
          <t>ARJEPLOG</t>
        </is>
      </c>
      <c r="H96" t="inlineStr">
        <is>
          <t>Allmännings- och besparingsskogar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28804-2026</t>
        </is>
      </c>
      <c r="B97" t="inlineStr">
        <is>
          <t>avverkningsanmälan</t>
        </is>
      </c>
      <c r="C97" t="inlineStr">
        <is>
          <t>Föryngringsavverkning</t>
        </is>
      </c>
      <c r="D97" s="1" t="n">
        <v>46198</v>
      </c>
      <c r="E97" s="1" t="n">
        <v>46254</v>
      </c>
      <c r="F97" t="inlineStr">
        <is>
          <t>NORRBOTTENS LÄN</t>
        </is>
      </c>
      <c r="G97" t="inlineStr">
        <is>
          <t>ARJEPLOG</t>
        </is>
      </c>
      <c r="H97" t="inlineStr">
        <is>
          <t>Allmännings- och besparingsskogar</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28679-2026</t>
        </is>
      </c>
      <c r="B98" t="inlineStr">
        <is>
          <t>avverkningsanmälan</t>
        </is>
      </c>
      <c r="C98" t="inlineStr">
        <is>
          <t>Föryngringsavverkning</t>
        </is>
      </c>
      <c r="D98" s="1" t="n">
        <v>46198</v>
      </c>
      <c r="E98" s="1" t="n">
        <v>46254</v>
      </c>
      <c r="F98" t="inlineStr">
        <is>
          <t>NORRBOTTENS LÄN</t>
        </is>
      </c>
      <c r="G98" t="inlineStr">
        <is>
          <t>ARJEPLOG</t>
        </is>
      </c>
      <c r="H98" t="inlineStr">
        <is>
          <t>Allmännings- och besparingsskogar</t>
        </is>
      </c>
      <c r="I98" t="n">
        <v>17.2</v>
      </c>
      <c r="J98" t="n">
        <v>0</v>
      </c>
      <c r="K98" t="n">
        <v>0</v>
      </c>
      <c r="L98" t="n">
        <v>0</v>
      </c>
      <c r="M98" t="n">
        <v>0</v>
      </c>
      <c r="N98" t="n">
        <v>0</v>
      </c>
      <c r="O98" t="n">
        <v>0</v>
      </c>
      <c r="P98" t="n">
        <v>0</v>
      </c>
      <c r="Q98" t="n">
        <v>0</v>
      </c>
      <c r="R98" t="n">
        <v>0</v>
      </c>
      <c r="S98" t="n">
        <v>0</v>
      </c>
      <c r="T98" t="n">
        <v>0</v>
      </c>
      <c r="U98" t="n">
        <v>0</v>
      </c>
      <c r="V98" s="2" t="inlineStr"/>
    </row>
    <row r="99" ht="15" customHeight="1">
      <c r="A99" t="inlineStr">
        <is>
          <t>A 28560-2026</t>
        </is>
      </c>
      <c r="B99" t="inlineStr">
        <is>
          <t>avverkningsanmälan</t>
        </is>
      </c>
      <c r="C99" t="inlineStr">
        <is>
          <t>Föryngringsavverkning</t>
        </is>
      </c>
      <c r="D99" s="1" t="n">
        <v>46197</v>
      </c>
      <c r="E99" s="1" t="n">
        <v>46254</v>
      </c>
      <c r="F99" t="inlineStr">
        <is>
          <t>NORRBOTTENS LÄN</t>
        </is>
      </c>
      <c r="G99" t="inlineStr">
        <is>
          <t>ARJEPLOG</t>
        </is>
      </c>
      <c r="H99" t="inlineStr">
        <is>
          <t>Allmännings- och besparingsskogar</t>
        </is>
      </c>
      <c r="I99" t="n">
        <v>14.2</v>
      </c>
      <c r="J99" t="n">
        <v>0</v>
      </c>
      <c r="K99" t="n">
        <v>0</v>
      </c>
      <c r="L99" t="n">
        <v>0</v>
      </c>
      <c r="M99" t="n">
        <v>0</v>
      </c>
      <c r="N99" t="n">
        <v>0</v>
      </c>
      <c r="O99" t="n">
        <v>0</v>
      </c>
      <c r="P99" t="n">
        <v>0</v>
      </c>
      <c r="Q99" t="n">
        <v>0</v>
      </c>
      <c r="R99" t="n">
        <v>0</v>
      </c>
      <c r="S99" t="n">
        <v>0</v>
      </c>
      <c r="T99" t="n">
        <v>0</v>
      </c>
      <c r="U99" t="n">
        <v>0</v>
      </c>
      <c r="V99" s="2" t="inlineStr"/>
    </row>
    <row r="100" ht="15" customHeight="1">
      <c r="A100" t="inlineStr">
        <is>
          <t>A 34426-2025</t>
        </is>
      </c>
      <c r="B100" t="inlineStr">
        <is>
          <t>avverkningsanmälan</t>
        </is>
      </c>
      <c r="C100" t="inlineStr">
        <is>
          <t>Föryngringsavverkning</t>
        </is>
      </c>
      <c r="D100" s="1" t="n">
        <v>45845</v>
      </c>
      <c r="E100" s="1" t="n">
        <v>46254</v>
      </c>
      <c r="F100" t="inlineStr">
        <is>
          <t>NORRBOTTENS LÄN</t>
        </is>
      </c>
      <c r="G100" t="inlineStr">
        <is>
          <t>ARJEPLOG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52581-2022</t>
        </is>
      </c>
      <c r="B101" t="inlineStr">
        <is>
          <t>avverkningsanmälan</t>
        </is>
      </c>
      <c r="C101" t="inlineStr">
        <is>
          <t>Föryngringsavverkning</t>
        </is>
      </c>
      <c r="D101" s="1" t="n">
        <v>44874</v>
      </c>
      <c r="E101" s="1" t="n">
        <v>46254</v>
      </c>
      <c r="F101" t="inlineStr">
        <is>
          <t>NORRBOTTENS LÄN</t>
        </is>
      </c>
      <c r="G101" t="inlineStr">
        <is>
          <t>ARJEPLOG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25440-2024</t>
        </is>
      </c>
      <c r="B102" t="inlineStr">
        <is>
          <t>avverkningsanmälan</t>
        </is>
      </c>
      <c r="C102" t="inlineStr">
        <is>
          <t>Föryngringsavverkning</t>
        </is>
      </c>
      <c r="D102" s="1" t="n">
        <v>45463</v>
      </c>
      <c r="E102" s="1" t="n">
        <v>46254</v>
      </c>
      <c r="F102" t="inlineStr">
        <is>
          <t>NORRBOTTENS LÄN</t>
        </is>
      </c>
      <c r="G102" t="inlineStr">
        <is>
          <t>ARJEPLOG</t>
        </is>
      </c>
      <c r="H102" t="inlineStr">
        <is>
          <t>Allmännings- och besparingsskogar</t>
        </is>
      </c>
      <c r="I102" t="n">
        <v>30.7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27836-2026</t>
        </is>
      </c>
      <c r="B103" t="inlineStr">
        <is>
          <t>avverkningsanmälan</t>
        </is>
      </c>
      <c r="C103" t="inlineStr">
        <is>
          <t>Avverkning för annat ändamål</t>
        </is>
      </c>
      <c r="D103" s="1" t="n">
        <v>46189</v>
      </c>
      <c r="E103" s="1" t="n">
        <v>46254</v>
      </c>
      <c r="F103" t="inlineStr">
        <is>
          <t>NORRBOTTENS LÄN</t>
        </is>
      </c>
      <c r="G103" t="inlineStr">
        <is>
          <t>ARJEPLOG</t>
        </is>
      </c>
      <c r="H103" t="inlineStr">
        <is>
          <t>Sveaskog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390-2026</t>
        </is>
      </c>
      <c r="B104" t="inlineStr">
        <is>
          <t>avverkningsanmälan</t>
        </is>
      </c>
      <c r="C104" t="inlineStr">
        <is>
          <t>Föryngringsavverkning</t>
        </is>
      </c>
      <c r="D104" s="1" t="n">
        <v>46028</v>
      </c>
      <c r="E104" s="1" t="n">
        <v>46254</v>
      </c>
      <c r="F104" t="inlineStr">
        <is>
          <t>NORRBOTTENS LÄN</t>
        </is>
      </c>
      <c r="G104" t="inlineStr">
        <is>
          <t>ARJEPLOG</t>
        </is>
      </c>
      <c r="I104" t="n">
        <v>19.5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17536-2023</t>
        </is>
      </c>
      <c r="B105" t="inlineStr">
        <is>
          <t>avverkningsanmälan</t>
        </is>
      </c>
      <c r="C105" t="inlineStr">
        <is>
          <t>Föryngringsavverkning</t>
        </is>
      </c>
      <c r="D105" s="1" t="n">
        <v>45034</v>
      </c>
      <c r="E105" s="1" t="n">
        <v>46254</v>
      </c>
      <c r="F105" t="inlineStr">
        <is>
          <t>NORRBOTTENS LÄN</t>
        </is>
      </c>
      <c r="G105" t="inlineStr">
        <is>
          <t>ARJEPLOG</t>
        </is>
      </c>
      <c r="H105" t="inlineStr">
        <is>
          <t>Övriga statliga verk och myndigheter</t>
        </is>
      </c>
      <c r="I105" t="n">
        <v>20.3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33993-2026</t>
        </is>
      </c>
      <c r="B106" t="inlineStr">
        <is>
          <t>avverkningsanmälan</t>
        </is>
      </c>
      <c r="C106" t="inlineStr">
        <is>
          <t>Avverkning för annat ändamål</t>
        </is>
      </c>
      <c r="D106" s="1" t="n">
        <v>46252</v>
      </c>
      <c r="E106" s="1" t="n">
        <v>46254</v>
      </c>
      <c r="F106" t="inlineStr">
        <is>
          <t>NORRBOTTENS LÄN</t>
        </is>
      </c>
      <c r="G106" t="inlineStr">
        <is>
          <t>ARJEPLOG</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26103-2024</t>
        </is>
      </c>
      <c r="B107" t="inlineStr">
        <is>
          <t>avverkningsanmälan</t>
        </is>
      </c>
      <c r="C107" t="inlineStr">
        <is>
          <t>Föryngringsavverkning</t>
        </is>
      </c>
      <c r="D107" s="1" t="n">
        <v>45467</v>
      </c>
      <c r="E107" s="1" t="n">
        <v>46254</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46254</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59887-2025</t>
        </is>
      </c>
      <c r="B109" t="inlineStr">
        <is>
          <t>avverkningsanmälan</t>
        </is>
      </c>
      <c r="C109" t="inlineStr">
        <is>
          <t>Föryngringsavverkning</t>
        </is>
      </c>
      <c r="D109" s="1" t="n">
        <v>45993</v>
      </c>
      <c r="E109" s="1" t="n">
        <v>46254</v>
      </c>
      <c r="F109" t="inlineStr">
        <is>
          <t>NORRBOTTENS LÄN</t>
        </is>
      </c>
      <c r="G109" t="inlineStr">
        <is>
          <t>ARJEPLOG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60767-2025</t>
        </is>
      </c>
      <c r="B110" t="inlineStr">
        <is>
          <t>avverkningsanmälan</t>
        </is>
      </c>
      <c r="C110" t="inlineStr">
        <is>
          <t>Föryngringsavverkning</t>
        </is>
      </c>
      <c r="D110" s="1" t="n">
        <v>45999</v>
      </c>
      <c r="E110" s="1" t="n">
        <v>46254</v>
      </c>
      <c r="F110" t="inlineStr">
        <is>
          <t>NORRBOTTENS LÄN</t>
        </is>
      </c>
      <c r="G110" t="inlineStr">
        <is>
          <t>ARJEPLOG</t>
        </is>
      </c>
      <c r="I110" t="n">
        <v>11.3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60766-2025</t>
        </is>
      </c>
      <c r="B111" t="inlineStr">
        <is>
          <t>avverkningsanmälan</t>
        </is>
      </c>
      <c r="C111" t="inlineStr">
        <is>
          <t>Föryngringsavverkning</t>
        </is>
      </c>
      <c r="D111" s="1" t="n">
        <v>45999</v>
      </c>
      <c r="E111" s="1" t="n">
        <v>46254</v>
      </c>
      <c r="F111" t="inlineStr">
        <is>
          <t>NORRBOTTENS LÄN</t>
        </is>
      </c>
      <c r="G111" t="inlineStr">
        <is>
          <t>ARJEPLOG</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46254</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26773-2022</t>
        </is>
      </c>
      <c r="B113" t="inlineStr">
        <is>
          <t>avverkningsanmälan</t>
        </is>
      </c>
      <c r="C113" t="inlineStr">
        <is>
          <t>Föryngringsavverkning</t>
        </is>
      </c>
      <c r="D113" s="1" t="n">
        <v>44732</v>
      </c>
      <c r="E113" s="1" t="n">
        <v>46254</v>
      </c>
      <c r="F113" t="inlineStr">
        <is>
          <t>NORRBOTTENS LÄN</t>
        </is>
      </c>
      <c r="G113" t="inlineStr">
        <is>
          <t>ARJEPLOG</t>
        </is>
      </c>
      <c r="H113" t="inlineStr">
        <is>
          <t>Övriga statliga verk och myndigheter</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35194-2024</t>
        </is>
      </c>
      <c r="B114" t="inlineStr">
        <is>
          <t>avverkningsanmälan</t>
        </is>
      </c>
      <c r="C114" t="inlineStr">
        <is>
          <t>Föryngringsavverkning</t>
        </is>
      </c>
      <c r="D114" s="1" t="n">
        <v>45530</v>
      </c>
      <c r="E114" s="1" t="n">
        <v>46254</v>
      </c>
      <c r="F114" t="inlineStr">
        <is>
          <t>NORRBOTTENS LÄN</t>
        </is>
      </c>
      <c r="G114" t="inlineStr">
        <is>
          <t>ARJEPLOG</t>
        </is>
      </c>
      <c r="I114" t="n">
        <v>20.1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12447-2025</t>
        </is>
      </c>
      <c r="B115" t="inlineStr">
        <is>
          <t>avverkningsanmälan</t>
        </is>
      </c>
      <c r="C115" t="inlineStr">
        <is>
          <t>Föryngringsavverkning</t>
        </is>
      </c>
      <c r="D115" s="1" t="n">
        <v>45730</v>
      </c>
      <c r="E115" s="1" t="n">
        <v>46254</v>
      </c>
      <c r="F115" t="inlineStr">
        <is>
          <t>NORRBOTTENS LÄN</t>
        </is>
      </c>
      <c r="G115" t="inlineStr">
        <is>
          <t>ARJEPLOG</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25239-2023</t>
        </is>
      </c>
      <c r="B116" t="inlineStr">
        <is>
          <t>avverkningsanmälan</t>
        </is>
      </c>
      <c r="C116" t="inlineStr">
        <is>
          <t>Föryngringsavverkning</t>
        </is>
      </c>
      <c r="D116" s="1" t="n">
        <v>45079</v>
      </c>
      <c r="E116" s="1" t="n">
        <v>46254</v>
      </c>
      <c r="F116" t="inlineStr">
        <is>
          <t>NORRBOTTENS LÄN</t>
        </is>
      </c>
      <c r="G116" t="inlineStr">
        <is>
          <t>ARJEPLOG</t>
        </is>
      </c>
      <c r="H116" t="inlineStr">
        <is>
          <t>Övriga statliga verk och myndigheter</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36623-2023</t>
        </is>
      </c>
      <c r="B117" t="inlineStr">
        <is>
          <t>avverkningsanmälan</t>
        </is>
      </c>
      <c r="C117" t="inlineStr">
        <is>
          <t>Föryngringsavverkning</t>
        </is>
      </c>
      <c r="D117" s="1" t="n">
        <v>45153</v>
      </c>
      <c r="E117" s="1" t="n">
        <v>46254</v>
      </c>
      <c r="F117" t="inlineStr">
        <is>
          <t>NORRBOTTENS LÄN</t>
        </is>
      </c>
      <c r="G117" t="inlineStr">
        <is>
          <t>ARJEPLOG</t>
        </is>
      </c>
      <c r="H117" t="inlineStr">
        <is>
          <t>Sveaskog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58989-2024</t>
        </is>
      </c>
      <c r="B118" t="inlineStr">
        <is>
          <t>avverkningsanmälan</t>
        </is>
      </c>
      <c r="C118" t="inlineStr">
        <is>
          <t>Avverkning för annat ändamål</t>
        </is>
      </c>
      <c r="D118" s="1" t="n">
        <v>45636</v>
      </c>
      <c r="E118" s="1" t="n">
        <v>46254</v>
      </c>
      <c r="F118" t="inlineStr">
        <is>
          <t>NORRBOTTENS LÄN</t>
        </is>
      </c>
      <c r="G118" t="inlineStr">
        <is>
          <t>ARJEPLOG</t>
        </is>
      </c>
      <c r="H118" t="inlineStr">
        <is>
          <t>Sveaskog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64840-2023</t>
        </is>
      </c>
      <c r="B119" t="inlineStr">
        <is>
          <t>avverkningsanmälan</t>
        </is>
      </c>
      <c r="C119" t="inlineStr">
        <is>
          <t>Föryngringsavverkning</t>
        </is>
      </c>
      <c r="D119" s="1" t="n">
        <v>45281</v>
      </c>
      <c r="E119" s="1" t="n">
        <v>46254</v>
      </c>
      <c r="F119" t="inlineStr">
        <is>
          <t>NORRBOTTENS LÄN</t>
        </is>
      </c>
      <c r="G119" t="inlineStr">
        <is>
          <t>ARJEPLOG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56785-2024</t>
        </is>
      </c>
      <c r="B120" t="inlineStr">
        <is>
          <t>avverkningsanmälan</t>
        </is>
      </c>
      <c r="C120" t="inlineStr">
        <is>
          <t>Föryngringsavverkning</t>
        </is>
      </c>
      <c r="D120" s="1" t="n">
        <v>45625</v>
      </c>
      <c r="E120" s="1" t="n">
        <v>46254</v>
      </c>
      <c r="F120" t="inlineStr">
        <is>
          <t>NORRBOTTENS LÄN</t>
        </is>
      </c>
      <c r="G120" t="inlineStr">
        <is>
          <t>ARJEPLOG</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25270-2023</t>
        </is>
      </c>
      <c r="B121" t="inlineStr">
        <is>
          <t>avverkningsanmälan</t>
        </is>
      </c>
      <c r="C121" t="inlineStr">
        <is>
          <t>Föryngringsavverkning</t>
        </is>
      </c>
      <c r="D121" s="1" t="n">
        <v>45079</v>
      </c>
      <c r="E121" s="1" t="n">
        <v>46254</v>
      </c>
      <c r="F121" t="inlineStr">
        <is>
          <t>NORRBOTTENS LÄN</t>
        </is>
      </c>
      <c r="G121" t="inlineStr">
        <is>
          <t>ARJEPLOG</t>
        </is>
      </c>
      <c r="H121" t="inlineStr">
        <is>
          <t>Övriga statliga verk och myndigheter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56800-2024</t>
        </is>
      </c>
      <c r="B122" t="inlineStr">
        <is>
          <t>avverkningsanmälan</t>
        </is>
      </c>
      <c r="C122" t="inlineStr">
        <is>
          <t>Föryngringsavverkning</t>
        </is>
      </c>
      <c r="D122" s="1" t="n">
        <v>45625</v>
      </c>
      <c r="E122" s="1" t="n">
        <v>46254</v>
      </c>
      <c r="F122" t="inlineStr">
        <is>
          <t>NORRBOTTENS LÄN</t>
        </is>
      </c>
      <c r="G122" t="inlineStr">
        <is>
          <t>ARJEPLOG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14861-2026</t>
        </is>
      </c>
      <c r="B123" t="inlineStr">
        <is>
          <t>avverkningsanmälan</t>
        </is>
      </c>
      <c r="C123" t="inlineStr">
        <is>
          <t>Föryngringsavverkning</t>
        </is>
      </c>
      <c r="D123" s="1" t="n">
        <v>46104</v>
      </c>
      <c r="E123" s="1" t="n">
        <v>46254</v>
      </c>
      <c r="F123" t="inlineStr">
        <is>
          <t>NORRBOTTENS LÄN</t>
        </is>
      </c>
      <c r="G123" t="inlineStr">
        <is>
          <t>ARJEPLOG</t>
        </is>
      </c>
      <c r="H123" t="inlineStr">
        <is>
          <t>Sveaskog</t>
        </is>
      </c>
      <c r="I123" t="n">
        <v>31.7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56794-2024</t>
        </is>
      </c>
      <c r="B124" t="inlineStr">
        <is>
          <t>avverkningsanmälan</t>
        </is>
      </c>
      <c r="C124" t="inlineStr">
        <is>
          <t>Föryngringsavverkning</t>
        </is>
      </c>
      <c r="D124" s="1" t="n">
        <v>45625</v>
      </c>
      <c r="E124" s="1" t="n">
        <v>46254</v>
      </c>
      <c r="F124" t="inlineStr">
        <is>
          <t>NORRBOTTENS LÄN</t>
        </is>
      </c>
      <c r="G124" t="inlineStr">
        <is>
          <t>ARJEPLOG</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56782-2024</t>
        </is>
      </c>
      <c r="B125" t="inlineStr">
        <is>
          <t>avverkningsanmälan</t>
        </is>
      </c>
      <c r="C125" t="inlineStr">
        <is>
          <t>Föryngringsavverkning</t>
        </is>
      </c>
      <c r="D125" s="1" t="n">
        <v>45625</v>
      </c>
      <c r="E125" s="1" t="n">
        <v>46254</v>
      </c>
      <c r="F125" t="inlineStr">
        <is>
          <t>NORRBOTTENS LÄN</t>
        </is>
      </c>
      <c r="G125" t="inlineStr">
        <is>
          <t>ARJEPLOG</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42274-2022</t>
        </is>
      </c>
      <c r="B126" t="inlineStr">
        <is>
          <t>avverkningsanmälan</t>
        </is>
      </c>
      <c r="C126" t="inlineStr">
        <is>
          <t>Föryngringsavverkning</t>
        </is>
      </c>
      <c r="D126" s="1" t="n">
        <v>44830</v>
      </c>
      <c r="E126" s="1" t="n">
        <v>46254</v>
      </c>
      <c r="F126" t="inlineStr">
        <is>
          <t>NORRBOTTENS LÄN</t>
        </is>
      </c>
      <c r="G126" t="inlineStr">
        <is>
          <t>ARJEPLOG</t>
        </is>
      </c>
      <c r="H126" t="inlineStr">
        <is>
          <t>SCA</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56276-2021</t>
        </is>
      </c>
      <c r="B127" t="inlineStr">
        <is>
          <t>avverkningsanmälan</t>
        </is>
      </c>
      <c r="C127" t="inlineStr">
        <is>
          <t>Avverkning för annat ändamål</t>
        </is>
      </c>
      <c r="D127" s="1" t="n">
        <v>44479</v>
      </c>
      <c r="E127" s="1" t="n">
        <v>46254</v>
      </c>
      <c r="F127" t="inlineStr">
        <is>
          <t>NORRBOTTENS LÄN</t>
        </is>
      </c>
      <c r="G127" t="inlineStr">
        <is>
          <t>ARJEPLOG</t>
        </is>
      </c>
      <c r="I127" t="n">
        <v>19.8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20319-2026</t>
        </is>
      </c>
      <c r="B128" t="inlineStr">
        <is>
          <t>avverkningsanmälan</t>
        </is>
      </c>
      <c r="C128" t="inlineStr">
        <is>
          <t>Föryngringsavverkning</t>
        </is>
      </c>
      <c r="D128" s="1" t="n">
        <v>46139</v>
      </c>
      <c r="E128" s="1" t="n">
        <v>46254</v>
      </c>
      <c r="F128" t="inlineStr">
        <is>
          <t>NORRBOTTENS LÄN</t>
        </is>
      </c>
      <c r="G128" t="inlineStr">
        <is>
          <t>ARJEPLOG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20326-2026</t>
        </is>
      </c>
      <c r="B129" t="inlineStr">
        <is>
          <t>avverkningsanmälan</t>
        </is>
      </c>
      <c r="C129" t="inlineStr">
        <is>
          <t>Föryngringsavverkning</t>
        </is>
      </c>
      <c r="D129" s="1" t="n">
        <v>46139</v>
      </c>
      <c r="E129" s="1" t="n">
        <v>46254</v>
      </c>
      <c r="F129" t="inlineStr">
        <is>
          <t>NORRBOTTENS LÄN</t>
        </is>
      </c>
      <c r="G129" t="inlineStr">
        <is>
          <t>ARJEPLOG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43045-2022</t>
        </is>
      </c>
      <c r="B130" t="inlineStr">
        <is>
          <t>avverkningsanmälan</t>
        </is>
      </c>
      <c r="C130" t="inlineStr">
        <is>
          <t>Föryngringsavverkning</t>
        </is>
      </c>
      <c r="D130" s="1" t="n">
        <v>44833</v>
      </c>
      <c r="E130" s="1" t="n">
        <v>46254</v>
      </c>
      <c r="F130" t="inlineStr">
        <is>
          <t>NORRBOTTENS LÄN</t>
        </is>
      </c>
      <c r="G130" t="inlineStr">
        <is>
          <t>ARJEPLOG</t>
        </is>
      </c>
      <c r="I130" t="n">
        <v>24.6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46254</v>
      </c>
      <c r="F131" t="inlineStr">
        <is>
          <t>NORRBOTTENS LÄN</t>
        </is>
      </c>
      <c r="G131" t="inlineStr">
        <is>
          <t>ARJEPLOG</t>
        </is>
      </c>
      <c r="I131" t="n">
        <v>23.2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25275-2023</t>
        </is>
      </c>
      <c r="B132" t="inlineStr">
        <is>
          <t>avverkningsanmälan</t>
        </is>
      </c>
      <c r="C132" t="inlineStr">
        <is>
          <t>Föryngringsavverkning</t>
        </is>
      </c>
      <c r="D132" s="1" t="n">
        <v>45079</v>
      </c>
      <c r="E132" s="1" t="n">
        <v>46254</v>
      </c>
      <c r="F132" t="inlineStr">
        <is>
          <t>NORRBOTTENS LÄN</t>
        </is>
      </c>
      <c r="G132" t="inlineStr">
        <is>
          <t>ARJEPLOG</t>
        </is>
      </c>
      <c r="H132" t="inlineStr">
        <is>
          <t>Övriga statliga verk och myndigheter</t>
        </is>
      </c>
      <c r="I132" t="n">
        <v>22.7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31104-2025</t>
        </is>
      </c>
      <c r="B133" t="inlineStr">
        <is>
          <t>avverkningsanmälan</t>
        </is>
      </c>
      <c r="C133" t="inlineStr">
        <is>
          <t>Föryngringsavverkning</t>
        </is>
      </c>
      <c r="D133" s="1" t="n">
        <v>45832</v>
      </c>
      <c r="E133" s="1" t="n">
        <v>46254</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25559-2022</t>
        </is>
      </c>
      <c r="B134" t="inlineStr">
        <is>
          <t>avverkningsanmälan</t>
        </is>
      </c>
      <c r="C134" t="inlineStr">
        <is>
          <t>Föryngringsavverkning</t>
        </is>
      </c>
      <c r="D134" s="1" t="n">
        <v>44732</v>
      </c>
      <c r="E134" s="1" t="n">
        <v>46254</v>
      </c>
      <c r="F134" t="inlineStr">
        <is>
          <t>NORRBOTTENS LÄN</t>
        </is>
      </c>
      <c r="G134" t="inlineStr">
        <is>
          <t>ARJEPLOG</t>
        </is>
      </c>
      <c r="H134" t="inlineStr">
        <is>
          <t>Övriga statliga verk och myndigheter</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29662-2025</t>
        </is>
      </c>
      <c r="B135" t="inlineStr">
        <is>
          <t>avverkningsanmälan</t>
        </is>
      </c>
      <c r="C135" t="inlineStr">
        <is>
          <t>Föryngringsavverkning</t>
        </is>
      </c>
      <c r="D135" s="1" t="n">
        <v>45825</v>
      </c>
      <c r="E135" s="1" t="n">
        <v>46254</v>
      </c>
      <c r="F135" t="inlineStr">
        <is>
          <t>NORRBOTTENS LÄN</t>
        </is>
      </c>
      <c r="G135" t="inlineStr">
        <is>
          <t>ARJEPLOG</t>
        </is>
      </c>
      <c r="H135" t="inlineStr">
        <is>
          <t>Allmännings- och besparingsskogar</t>
        </is>
      </c>
      <c r="I135" t="n">
        <v>23.7</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46254</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2026-08-20T01:51:08Z</dcterms:created>
  <dcterms:modified xmlns:dcterms="http://purl.org/dc/terms/" xmlns:xsi="http://www.w3.org/2001/XMLSchema-instance" xsi:type="dcterms:W3CDTF">2026-08-20T01:51:08Z</dcterms:modified>
</cp:coreProperties>
</file>