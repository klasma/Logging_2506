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45900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45900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45900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45900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45900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45900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45900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28351-2025</t>
        </is>
      </c>
      <c r="B9" s="1" t="n">
        <v>45818</v>
      </c>
      <c r="C9" s="1" t="n">
        <v>45900</v>
      </c>
      <c r="D9" t="inlineStr">
        <is>
          <t>NORRBOTTENS LÄN</t>
        </is>
      </c>
      <c r="E9" t="inlineStr">
        <is>
          <t>ARJEPLOG</t>
        </is>
      </c>
      <c r="G9" t="n">
        <v>5.4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Fläckporing
Blanksvart spiklav
Dvärgbägarlav
Garnlav
Granticka
Ullticka
Vedflamlav
Vedskivlav
Dropptaggsvamp</t>
        </is>
      </c>
      <c r="S9">
        <f>HYPERLINK("https://klasma.github.io/Logging_2506/artfynd/A 28351-2025 artfynd.xlsx", "A 28351-2025")</f>
        <v/>
      </c>
      <c r="T9">
        <f>HYPERLINK("https://klasma.github.io/Logging_2506/kartor/A 28351-2025 karta.png", "A 28351-2025")</f>
        <v/>
      </c>
      <c r="V9">
        <f>HYPERLINK("https://klasma.github.io/Logging_2506/klagomål/A 28351-2025 FSC-klagomål.docx", "A 28351-2025")</f>
        <v/>
      </c>
      <c r="W9">
        <f>HYPERLINK("https://klasma.github.io/Logging_2506/klagomålsmail/A 28351-2025 FSC-klagomål mail.docx", "A 28351-2025")</f>
        <v/>
      </c>
      <c r="X9">
        <f>HYPERLINK("https://klasma.github.io/Logging_2506/tillsyn/A 28351-2025 tillsynsbegäran.docx", "A 28351-2025")</f>
        <v/>
      </c>
      <c r="Y9">
        <f>HYPERLINK("https://klasma.github.io/Logging_2506/tillsynsmail/A 28351-2025 tillsynsbegäran mail.docx", "A 28351-2025")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45900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45900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45900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45900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45900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45900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45900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45900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45900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26143-2024</t>
        </is>
      </c>
      <c r="B19" s="1" t="n">
        <v>45467</v>
      </c>
      <c r="C19" s="1" t="n">
        <v>45900</v>
      </c>
      <c r="D19" t="inlineStr">
        <is>
          <t>NORRBOTTENS LÄN</t>
        </is>
      </c>
      <c r="E19" t="inlineStr">
        <is>
          <t>ARJEPLOG</t>
        </is>
      </c>
      <c r="G19" t="n">
        <v>8.1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Blanksvart spiklav
Knottrig blåslav
Vedticka</t>
        </is>
      </c>
      <c r="S19">
        <f>HYPERLINK("https://klasma.github.io/Logging_2506/artfynd/A 26143-2024 artfynd.xlsx", "A 26143-2024")</f>
        <v/>
      </c>
      <c r="T19">
        <f>HYPERLINK("https://klasma.github.io/Logging_2506/kartor/A 26143-2024 karta.png", "A 26143-2024")</f>
        <v/>
      </c>
      <c r="V19">
        <f>HYPERLINK("https://klasma.github.io/Logging_2506/klagomål/A 26143-2024 FSC-klagomål.docx", "A 26143-2024")</f>
        <v/>
      </c>
      <c r="W19">
        <f>HYPERLINK("https://klasma.github.io/Logging_2506/klagomålsmail/A 26143-2024 FSC-klagomål mail.docx", "A 26143-2024")</f>
        <v/>
      </c>
      <c r="X19">
        <f>HYPERLINK("https://klasma.github.io/Logging_2506/tillsyn/A 26143-2024 tillsynsbegäran.docx", "A 26143-2024")</f>
        <v/>
      </c>
      <c r="Y19">
        <f>HYPERLINK("https://klasma.github.io/Logging_2506/tillsynsmail/A 26143-2024 tillsynsbegäran mail.docx", "A 26143-2024")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45900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45900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45900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14684-2021</t>
        </is>
      </c>
      <c r="B23" s="1" t="n">
        <v>44280</v>
      </c>
      <c r="C23" s="1" t="n">
        <v>45900</v>
      </c>
      <c r="D23" t="inlineStr">
        <is>
          <t>NORRBOTTENS LÄN</t>
        </is>
      </c>
      <c r="E23" t="inlineStr">
        <is>
          <t>ARJEPLOG</t>
        </is>
      </c>
      <c r="G23" t="n">
        <v>26.6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Tretåig hackspett
Ullticka</t>
        </is>
      </c>
      <c r="S23">
        <f>HYPERLINK("https://klasma.github.io/Logging_2506/artfynd/A 14684-2021 artfynd.xlsx", "A 14684-2021")</f>
        <v/>
      </c>
      <c r="T23">
        <f>HYPERLINK("https://klasma.github.io/Logging_2506/kartor/A 14684-2021 karta.png", "A 14684-2021")</f>
        <v/>
      </c>
      <c r="V23">
        <f>HYPERLINK("https://klasma.github.io/Logging_2506/klagomål/A 14684-2021 FSC-klagomål.docx", "A 14684-2021")</f>
        <v/>
      </c>
      <c r="W23">
        <f>HYPERLINK("https://klasma.github.io/Logging_2506/klagomålsmail/A 14684-2021 FSC-klagomål mail.docx", "A 14684-2021")</f>
        <v/>
      </c>
      <c r="X23">
        <f>HYPERLINK("https://klasma.github.io/Logging_2506/tillsyn/A 14684-2021 tillsynsbegäran.docx", "A 14684-2021")</f>
        <v/>
      </c>
      <c r="Y23">
        <f>HYPERLINK("https://klasma.github.io/Logging_2506/tillsynsmail/A 14684-2021 tillsynsbegäran mail.docx", "A 14684-2021")</f>
        <v/>
      </c>
      <c r="Z23">
        <f>HYPERLINK("https://klasma.github.io/Logging_2506/fåglar/A 14684-2021 prioriterade fågelarter.docx", "A 14684-2021")</f>
        <v/>
      </c>
    </row>
    <row r="24" ht="15" customHeight="1">
      <c r="A24" t="inlineStr">
        <is>
          <t>A 45032-2023</t>
        </is>
      </c>
      <c r="B24" s="1" t="n">
        <v>45190</v>
      </c>
      <c r="C24" s="1" t="n">
        <v>45900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HYPERLINK("https://klasma.github.io/Logging_2506/artfynd/A 45032-2023 artfynd.xlsx", "A 45032-2023")</f>
        <v/>
      </c>
      <c r="T24">
        <f>HYPERLINK("https://klasma.github.io/Logging_2506/kartor/A 45032-2023 karta.png", "A 45032-2023")</f>
        <v/>
      </c>
      <c r="V24">
        <f>HYPERLINK("https://klasma.github.io/Logging_2506/klagomål/A 45032-2023 FSC-klagomål.docx", "A 45032-2023")</f>
        <v/>
      </c>
      <c r="W24">
        <f>HYPERLINK("https://klasma.github.io/Logging_2506/klagomålsmail/A 45032-2023 FSC-klagomål mail.docx", "A 45032-2023")</f>
        <v/>
      </c>
      <c r="X24">
        <f>HYPERLINK("https://klasma.github.io/Logging_2506/tillsyn/A 45032-2023 tillsynsbegäran.docx", "A 45032-2023")</f>
        <v/>
      </c>
      <c r="Y24">
        <f>HYPERLINK("https://klasma.github.io/Logging_2506/tillsynsmail/A 45032-2023 tillsynsbegäran mail.docx", "A 45032-2023")</f>
        <v/>
      </c>
      <c r="Z24">
        <f>HYPERLINK("https://klasma.github.io/Logging_2506/fåglar/A 45032-2023 prioriterade fågelarter.docx", "A 45032-2023")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45900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45900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45900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45324-2022</t>
        </is>
      </c>
      <c r="B28" s="1" t="n">
        <v>44841</v>
      </c>
      <c r="C28" s="1" t="n">
        <v>45900</v>
      </c>
      <c r="D28" t="inlineStr">
        <is>
          <t>NORRBOTTENS LÄN</t>
        </is>
      </c>
      <c r="E28" t="inlineStr">
        <is>
          <t>ARJEPLOG</t>
        </is>
      </c>
      <c r="G28" t="n">
        <v>23.2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Bergand</t>
        </is>
      </c>
      <c r="S28">
        <f>HYPERLINK("https://klasma.github.io/Logging_2506/artfynd/A 45324-2022 artfynd.xlsx", "A 45324-2022")</f>
        <v/>
      </c>
      <c r="T28">
        <f>HYPERLINK("https://klasma.github.io/Logging_2506/kartor/A 45324-2022 karta.png", "A 45324-2022")</f>
        <v/>
      </c>
      <c r="V28">
        <f>HYPERLINK("https://klasma.github.io/Logging_2506/klagomål/A 45324-2022 FSC-klagomål.docx", "A 45324-2022")</f>
        <v/>
      </c>
      <c r="W28">
        <f>HYPERLINK("https://klasma.github.io/Logging_2506/klagomålsmail/A 45324-2022 FSC-klagomål mail.docx", "A 45324-2022")</f>
        <v/>
      </c>
      <c r="X28">
        <f>HYPERLINK("https://klasma.github.io/Logging_2506/tillsyn/A 45324-2022 tillsynsbegäran.docx", "A 45324-2022")</f>
        <v/>
      </c>
      <c r="Y28">
        <f>HYPERLINK("https://klasma.github.io/Logging_2506/tillsynsmail/A 45324-2022 tillsynsbegäran mail.docx", "A 45324-2022")</f>
        <v/>
      </c>
    </row>
    <row r="29" ht="15" customHeight="1">
      <c r="A29" t="inlineStr">
        <is>
          <t>A 25279-2023</t>
        </is>
      </c>
      <c r="B29" s="1" t="n">
        <v>45079</v>
      </c>
      <c r="C29" s="1" t="n">
        <v>45900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HYPERLINK("https://klasma.github.io/Logging_2506/artfynd/A 25279-2023 artfynd.xlsx", "A 25279-2023")</f>
        <v/>
      </c>
      <c r="T29">
        <f>HYPERLINK("https://klasma.github.io/Logging_2506/kartor/A 25279-2023 karta.png", "A 25279-2023")</f>
        <v/>
      </c>
      <c r="V29">
        <f>HYPERLINK("https://klasma.github.io/Logging_2506/klagomål/A 25279-2023 FSC-klagomål.docx", "A 25279-2023")</f>
        <v/>
      </c>
      <c r="W29">
        <f>HYPERLINK("https://klasma.github.io/Logging_2506/klagomålsmail/A 25279-2023 FSC-klagomål mail.docx", "A 25279-2023")</f>
        <v/>
      </c>
      <c r="X29">
        <f>HYPERLINK("https://klasma.github.io/Logging_2506/tillsyn/A 25279-2023 tillsynsbegäran.docx", "A 25279-2023")</f>
        <v/>
      </c>
      <c r="Y29">
        <f>HYPERLINK("https://klasma.github.io/Logging_2506/tillsynsmail/A 25279-2023 tillsynsbegäran mail.docx", "A 25279-2023")</f>
        <v/>
      </c>
    </row>
    <row r="30" ht="15" customHeight="1">
      <c r="A30" t="inlineStr">
        <is>
          <t>A 18921-2025</t>
        </is>
      </c>
      <c r="B30" s="1" t="n">
        <v>45764</v>
      </c>
      <c r="C30" s="1" t="n">
        <v>45900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HYPERLINK("https://klasma.github.io/Logging_2506/artfynd/A 18921-2025 artfynd.xlsx", "A 18921-2025")</f>
        <v/>
      </c>
      <c r="T30">
        <f>HYPERLINK("https://klasma.github.io/Logging_2506/kartor/A 18921-2025 karta.png", "A 18921-2025")</f>
        <v/>
      </c>
      <c r="V30">
        <f>HYPERLINK("https://klasma.github.io/Logging_2506/klagomål/A 18921-2025 FSC-klagomål.docx", "A 18921-2025")</f>
        <v/>
      </c>
      <c r="W30">
        <f>HYPERLINK("https://klasma.github.io/Logging_2506/klagomålsmail/A 18921-2025 FSC-klagomål mail.docx", "A 18921-2025")</f>
        <v/>
      </c>
      <c r="X30">
        <f>HYPERLINK("https://klasma.github.io/Logging_2506/tillsyn/A 18921-2025 tillsynsbegäran.docx", "A 18921-2025")</f>
        <v/>
      </c>
      <c r="Y30">
        <f>HYPERLINK("https://klasma.github.io/Logging_2506/tillsynsmail/A 18921-2025 tillsynsbegäran mail.docx", "A 18921-2025")</f>
        <v/>
      </c>
    </row>
    <row r="31" ht="15" customHeight="1">
      <c r="A31" t="inlineStr">
        <is>
          <t>A 12403-2025</t>
        </is>
      </c>
      <c r="B31" s="1" t="n">
        <v>45730</v>
      </c>
      <c r="C31" s="1" t="n">
        <v>45900</v>
      </c>
      <c r="D31" t="inlineStr">
        <is>
          <t>NORRBOTTENS LÄN</t>
        </is>
      </c>
      <c r="E31" t="inlineStr">
        <is>
          <t>ARJEPLOG</t>
        </is>
      </c>
      <c r="G31" t="n">
        <v>10.1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12403-2025 artfynd.xlsx", "A 12403-2025")</f>
        <v/>
      </c>
      <c r="T31">
        <f>HYPERLINK("https://klasma.github.io/Logging_2506/kartor/A 12403-2025 karta.png", "A 12403-2025")</f>
        <v/>
      </c>
      <c r="V31">
        <f>HYPERLINK("https://klasma.github.io/Logging_2506/klagomål/A 12403-2025 FSC-klagomål.docx", "A 12403-2025")</f>
        <v/>
      </c>
      <c r="W31">
        <f>HYPERLINK("https://klasma.github.io/Logging_2506/klagomålsmail/A 12403-2025 FSC-klagomål mail.docx", "A 12403-2025")</f>
        <v/>
      </c>
      <c r="X31">
        <f>HYPERLINK("https://klasma.github.io/Logging_2506/tillsyn/A 12403-2025 tillsynsbegäran.docx", "A 12403-2025")</f>
        <v/>
      </c>
      <c r="Y31">
        <f>HYPERLINK("https://klasma.github.io/Logging_2506/tillsynsmail/A 12403-2025 tillsynsbegäran mail.docx", "A 12403-2025")</f>
        <v/>
      </c>
      <c r="Z31">
        <f>HYPERLINK("https://klasma.github.io/Logging_2506/fåglar/A 12403-2025 prioriterade fågelarter.docx", "A 12403-2025")</f>
        <v/>
      </c>
    </row>
    <row r="32" ht="15" customHeight="1">
      <c r="A32" t="inlineStr">
        <is>
          <t>A 39728-2025</t>
        </is>
      </c>
      <c r="B32" s="1" t="n">
        <v>45891.34503472222</v>
      </c>
      <c r="C32" s="1" t="n">
        <v>45900</v>
      </c>
      <c r="D32" t="inlineStr">
        <is>
          <t>NORRBOTTENS LÄN</t>
        </is>
      </c>
      <c r="E32" t="inlineStr">
        <is>
          <t>ARJEPLOG</t>
        </is>
      </c>
      <c r="G32" t="n">
        <v>36.2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Lavskrika</t>
        </is>
      </c>
      <c r="S32">
        <f>HYPERLINK("https://klasma.github.io/Logging_2506/artfynd/A 39728-2025 artfynd.xlsx", "A 39728-2025")</f>
        <v/>
      </c>
      <c r="T32">
        <f>HYPERLINK("https://klasma.github.io/Logging_2506/kartor/A 39728-2025 karta.png", "A 39728-2025")</f>
        <v/>
      </c>
      <c r="V32">
        <f>HYPERLINK("https://klasma.github.io/Logging_2506/klagomål/A 39728-2025 FSC-klagomål.docx", "A 39728-2025")</f>
        <v/>
      </c>
      <c r="W32">
        <f>HYPERLINK("https://klasma.github.io/Logging_2506/klagomålsmail/A 39728-2025 FSC-klagomål mail.docx", "A 39728-2025")</f>
        <v/>
      </c>
      <c r="X32">
        <f>HYPERLINK("https://klasma.github.io/Logging_2506/tillsyn/A 39728-2025 tillsynsbegäran.docx", "A 39728-2025")</f>
        <v/>
      </c>
      <c r="Y32">
        <f>HYPERLINK("https://klasma.github.io/Logging_2506/tillsynsmail/A 39728-2025 tillsynsbegäran mail.docx", "A 39728-2025")</f>
        <v/>
      </c>
      <c r="Z32">
        <f>HYPERLINK("https://klasma.github.io/Logging_2506/fåglar/A 39728-2025 prioriterade fågelarter.docx", "A 39728-2025")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45900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45900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45900</v>
      </c>
      <c r="D35" t="inlineStr">
        <is>
          <t>NORRBOTTENS LÄN</t>
        </is>
      </c>
      <c r="E35" t="inlineStr">
        <is>
          <t>ARJEPLOG</t>
        </is>
      </c>
      <c r="G35" t="n">
        <v>21.6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45900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45900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45900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45900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45900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45900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45900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45900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45900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45900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45900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45900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45900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45900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45900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19620-2022</t>
        </is>
      </c>
      <c r="B51" s="1" t="n">
        <v>44694</v>
      </c>
      <c r="C51" s="1" t="n">
        <v>45900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45900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45900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45900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45900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45900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48376-2023</t>
        </is>
      </c>
      <c r="B57" s="1" t="n">
        <v>45205</v>
      </c>
      <c r="C57" s="1" t="n">
        <v>45900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Aktiebolag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3006-2024</t>
        </is>
      </c>
      <c r="B58" s="1" t="n">
        <v>45315</v>
      </c>
      <c r="C58" s="1" t="n">
        <v>45900</v>
      </c>
      <c r="D58" t="inlineStr">
        <is>
          <t>NORRBOTTENS LÄN</t>
        </is>
      </c>
      <c r="E58" t="inlineStr">
        <is>
          <t>ARJEPLOG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25440-2024</t>
        </is>
      </c>
      <c r="B59" s="1" t="n">
        <v>45463</v>
      </c>
      <c r="C59" s="1" t="n">
        <v>45900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26103-2024</t>
        </is>
      </c>
      <c r="B60" s="1" t="n">
        <v>45467</v>
      </c>
      <c r="C60" s="1" t="n">
        <v>45900</v>
      </c>
      <c r="D60" t="inlineStr">
        <is>
          <t>NORRBOTTENS LÄN</t>
        </is>
      </c>
      <c r="E60" t="inlineStr">
        <is>
          <t>ARJEPLOG</t>
        </is>
      </c>
      <c r="G60" t="n">
        <v>17.2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56276-2021</t>
        </is>
      </c>
      <c r="B61" s="1" t="n">
        <v>44479</v>
      </c>
      <c r="C61" s="1" t="n">
        <v>45900</v>
      </c>
      <c r="D61" t="inlineStr">
        <is>
          <t>NORRBOTTENS LÄN</t>
        </is>
      </c>
      <c r="E61" t="inlineStr">
        <is>
          <t>ARJEPLOG</t>
        </is>
      </c>
      <c r="G61" t="n">
        <v>19.8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20905-2025</t>
        </is>
      </c>
      <c r="B62" s="1" t="n">
        <v>45777.40407407407</v>
      </c>
      <c r="C62" s="1" t="n">
        <v>45900</v>
      </c>
      <c r="D62" t="inlineStr">
        <is>
          <t>NORRBOTTENS LÄN</t>
        </is>
      </c>
      <c r="E62" t="inlineStr">
        <is>
          <t>ARJEPLOG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13119-2025</t>
        </is>
      </c>
      <c r="B63" s="1" t="n">
        <v>45734</v>
      </c>
      <c r="C63" s="1" t="n">
        <v>45900</v>
      </c>
      <c r="D63" t="inlineStr">
        <is>
          <t>NORRBOTTENS LÄN</t>
        </is>
      </c>
      <c r="E63" t="inlineStr">
        <is>
          <t>ARJEPLOG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20916-2025</t>
        </is>
      </c>
      <c r="B64" s="1" t="n">
        <v>45777.41037037037</v>
      </c>
      <c r="C64" s="1" t="n">
        <v>45900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26470-2024</t>
        </is>
      </c>
      <c r="B65" s="1" t="n">
        <v>45468</v>
      </c>
      <c r="C65" s="1" t="n">
        <v>45900</v>
      </c>
      <c r="D65" t="inlineStr">
        <is>
          <t>NORRBOTTENS LÄN</t>
        </is>
      </c>
      <c r="E65" t="inlineStr">
        <is>
          <t>ARJEPLOG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64826-2023</t>
        </is>
      </c>
      <c r="B66" s="1" t="n">
        <v>45281</v>
      </c>
      <c r="C66" s="1" t="n">
        <v>45900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25270-2023</t>
        </is>
      </c>
      <c r="B67" s="1" t="n">
        <v>45079</v>
      </c>
      <c r="C67" s="1" t="n">
        <v>45900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29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17536-2023</t>
        </is>
      </c>
      <c r="B68" s="1" t="n">
        <v>45034</v>
      </c>
      <c r="C68" s="1" t="n">
        <v>45900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35194-2024</t>
        </is>
      </c>
      <c r="B69" s="1" t="n">
        <v>45530</v>
      </c>
      <c r="C69" s="1" t="n">
        <v>45900</v>
      </c>
      <c r="D69" t="inlineStr">
        <is>
          <t>NORRBOTTENS LÄN</t>
        </is>
      </c>
      <c r="E69" t="inlineStr">
        <is>
          <t>ARJEPLOG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45326-2024</t>
        </is>
      </c>
      <c r="B70" s="1" t="n">
        <v>45576</v>
      </c>
      <c r="C70" s="1" t="n">
        <v>45900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14375-2021</t>
        </is>
      </c>
      <c r="B71" s="1" t="n">
        <v>44279</v>
      </c>
      <c r="C71" s="1" t="n">
        <v>45900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60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56754-2024</t>
        </is>
      </c>
      <c r="B72" s="1" t="n">
        <v>45625</v>
      </c>
      <c r="C72" s="1" t="n">
        <v>45900</v>
      </c>
      <c r="D72" t="inlineStr">
        <is>
          <t>NORRBOTTENS LÄN</t>
        </is>
      </c>
      <c r="E72" t="inlineStr">
        <is>
          <t>ARJEPLOG</t>
        </is>
      </c>
      <c r="G72" t="n">
        <v>11.5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56800-2024</t>
        </is>
      </c>
      <c r="B73" s="1" t="n">
        <v>45625</v>
      </c>
      <c r="C73" s="1" t="n">
        <v>45900</v>
      </c>
      <c r="D73" t="inlineStr">
        <is>
          <t>NORRBOTTENS LÄN</t>
        </is>
      </c>
      <c r="E73" t="inlineStr">
        <is>
          <t>ARJEPLOG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526-2025</t>
        </is>
      </c>
      <c r="B74" s="1" t="n">
        <v>45664</v>
      </c>
      <c r="C74" s="1" t="n">
        <v>45900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64832-2023</t>
        </is>
      </c>
      <c r="B75" s="1" t="n">
        <v>45281</v>
      </c>
      <c r="C75" s="1" t="n">
        <v>45900</v>
      </c>
      <c r="D75" t="inlineStr">
        <is>
          <t>NORRBOTTENS LÄN</t>
        </is>
      </c>
      <c r="E75" t="inlineStr">
        <is>
          <t>ARJEPLOG</t>
        </is>
      </c>
      <c r="G75" t="n">
        <v>43.6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36623-2023</t>
        </is>
      </c>
      <c r="B76" s="1" t="n">
        <v>45153</v>
      </c>
      <c r="C76" s="1" t="n">
        <v>45900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43045-2022</t>
        </is>
      </c>
      <c r="B77" s="1" t="n">
        <v>44833</v>
      </c>
      <c r="C77" s="1" t="n">
        <v>45900</v>
      </c>
      <c r="D77" t="inlineStr">
        <is>
          <t>NORRBOTTENS LÄN</t>
        </is>
      </c>
      <c r="E77" t="inlineStr">
        <is>
          <t>ARJEPLOG</t>
        </is>
      </c>
      <c r="G77" t="n">
        <v>24.6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43045-2022</t>
        </is>
      </c>
      <c r="B78" s="1" t="n">
        <v>44833</v>
      </c>
      <c r="C78" s="1" t="n">
        <v>45900</v>
      </c>
      <c r="D78" t="inlineStr">
        <is>
          <t>NORRBOTTENS LÄN</t>
        </is>
      </c>
      <c r="E78" t="inlineStr">
        <is>
          <t>ARJEPLOG</t>
        </is>
      </c>
      <c r="G78" t="n">
        <v>23.2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73880-2021</t>
        </is>
      </c>
      <c r="B79" s="1" t="n">
        <v>44552</v>
      </c>
      <c r="C79" s="1" t="n">
        <v>45900</v>
      </c>
      <c r="D79" t="inlineStr">
        <is>
          <t>NORRBOTTENS LÄN</t>
        </is>
      </c>
      <c r="E79" t="inlineStr">
        <is>
          <t>ARJEPLOG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56782-2024</t>
        </is>
      </c>
      <c r="B80" s="1" t="n">
        <v>45625</v>
      </c>
      <c r="C80" s="1" t="n">
        <v>45900</v>
      </c>
      <c r="D80" t="inlineStr">
        <is>
          <t>NORRBOTTENS LÄN</t>
        </is>
      </c>
      <c r="E80" t="inlineStr">
        <is>
          <t>ARJEPLOG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56794-2024</t>
        </is>
      </c>
      <c r="B81" s="1" t="n">
        <v>45625</v>
      </c>
      <c r="C81" s="1" t="n">
        <v>45900</v>
      </c>
      <c r="D81" t="inlineStr">
        <is>
          <t>NORRBOTTENS LÄN</t>
        </is>
      </c>
      <c r="E81" t="inlineStr">
        <is>
          <t>ARJEPLOG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25928-2024</t>
        </is>
      </c>
      <c r="B82" s="1" t="n">
        <v>45467</v>
      </c>
      <c r="C82" s="1" t="n">
        <v>45900</v>
      </c>
      <c r="D82" t="inlineStr">
        <is>
          <t>NORRBOTTENS LÄN</t>
        </is>
      </c>
      <c r="E82" t="inlineStr">
        <is>
          <t>ARJEPLOG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58989-2024</t>
        </is>
      </c>
      <c r="B83" s="1" t="n">
        <v>45636</v>
      </c>
      <c r="C83" s="1" t="n">
        <v>45900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23949-2024</t>
        </is>
      </c>
      <c r="B84" s="1" t="n">
        <v>45455</v>
      </c>
      <c r="C84" s="1" t="n">
        <v>45900</v>
      </c>
      <c r="D84" t="inlineStr">
        <is>
          <t>NORRBOTTENS LÄN</t>
        </is>
      </c>
      <c r="E84" t="inlineStr">
        <is>
          <t>ARJEPLOG</t>
        </is>
      </c>
      <c r="F84" t="inlineStr">
        <is>
          <t>SCA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45924-2023</t>
        </is>
      </c>
      <c r="B85" s="1" t="n">
        <v>45189</v>
      </c>
      <c r="C85" s="1" t="n">
        <v>45900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29667-2025</t>
        </is>
      </c>
      <c r="B86" s="1" t="n">
        <v>45825</v>
      </c>
      <c r="C86" s="1" t="n">
        <v>45900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55422-2021</t>
        </is>
      </c>
      <c r="B87" s="1" t="n">
        <v>44475</v>
      </c>
      <c r="C87" s="1" t="n">
        <v>45900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48940-2023</t>
        </is>
      </c>
      <c r="B88" s="1" t="n">
        <v>45205</v>
      </c>
      <c r="C88" s="1" t="n">
        <v>45900</v>
      </c>
      <c r="D88" t="inlineStr">
        <is>
          <t>NORRBOTTENS LÄN</t>
        </is>
      </c>
      <c r="E88" t="inlineStr">
        <is>
          <t>ARJEPLOG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12409-2025</t>
        </is>
      </c>
      <c r="B89" s="1" t="n">
        <v>45730.43366898148</v>
      </c>
      <c r="C89" s="1" t="n">
        <v>45900</v>
      </c>
      <c r="D89" t="inlineStr">
        <is>
          <t>NORRBOTTENS LÄN</t>
        </is>
      </c>
      <c r="E89" t="inlineStr">
        <is>
          <t>ARJEPLOG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31104-2025</t>
        </is>
      </c>
      <c r="B90" s="1" t="n">
        <v>45832.60090277778</v>
      </c>
      <c r="C90" s="1" t="n">
        <v>45900</v>
      </c>
      <c r="D90" t="inlineStr">
        <is>
          <t>NORRBOTTENS LÄN</t>
        </is>
      </c>
      <c r="E90" t="inlineStr">
        <is>
          <t>ARJEPLOG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25275-2023</t>
        </is>
      </c>
      <c r="B91" s="1" t="n">
        <v>45079</v>
      </c>
      <c r="C91" s="1" t="n">
        <v>45900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22.7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61272-2020</t>
        </is>
      </c>
      <c r="B92" s="1" t="n">
        <v>44154</v>
      </c>
      <c r="C92" s="1" t="n">
        <v>45900</v>
      </c>
      <c r="D92" t="inlineStr">
        <is>
          <t>NORRBOTTENS LÄN</t>
        </is>
      </c>
      <c r="E92" t="inlineStr">
        <is>
          <t>ARJEPLOG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26811-2022</t>
        </is>
      </c>
      <c r="B93" s="1" t="n">
        <v>44735</v>
      </c>
      <c r="C93" s="1" t="n">
        <v>45900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37442-2025</t>
        </is>
      </c>
      <c r="B94" s="1" t="n">
        <v>45877.54096064815</v>
      </c>
      <c r="C94" s="1" t="n">
        <v>45900</v>
      </c>
      <c r="D94" t="inlineStr">
        <is>
          <t>NORRBOTTENS LÄN</t>
        </is>
      </c>
      <c r="E94" t="inlineStr">
        <is>
          <t>ARJEPLOG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45900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44218-2023</t>
        </is>
      </c>
      <c r="B96" s="1" t="n">
        <v>45183</v>
      </c>
      <c r="C96" s="1" t="n">
        <v>45900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38851-2025</t>
        </is>
      </c>
      <c r="B97" s="1" t="n">
        <v>45887.55271990741</v>
      </c>
      <c r="C97" s="1" t="n">
        <v>45900</v>
      </c>
      <c r="D97" t="inlineStr">
        <is>
          <t>NORRBOTTENS LÄN</t>
        </is>
      </c>
      <c r="E97" t="inlineStr">
        <is>
          <t>ARJEPLOG</t>
        </is>
      </c>
      <c r="G97" t="n">
        <v>15.2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53822-2024</t>
        </is>
      </c>
      <c r="B98" s="1" t="n">
        <v>45614</v>
      </c>
      <c r="C98" s="1" t="n">
        <v>45900</v>
      </c>
      <c r="D98" t="inlineStr">
        <is>
          <t>NORRBOTTENS LÄN</t>
        </is>
      </c>
      <c r="E98" t="inlineStr">
        <is>
          <t>ARJEPLOG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28354-2022</t>
        </is>
      </c>
      <c r="B99" s="1" t="n">
        <v>44735</v>
      </c>
      <c r="C99" s="1" t="n">
        <v>45900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64837-2023</t>
        </is>
      </c>
      <c r="B100" s="1" t="n">
        <v>45281</v>
      </c>
      <c r="C100" s="1" t="n">
        <v>45900</v>
      </c>
      <c r="D100" t="inlineStr">
        <is>
          <t>NORRBOTTENS LÄN</t>
        </is>
      </c>
      <c r="E100" t="inlineStr">
        <is>
          <t>ARJEPLOG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64840-2023</t>
        </is>
      </c>
      <c r="B101" s="1" t="n">
        <v>45281</v>
      </c>
      <c r="C101" s="1" t="n">
        <v>45900</v>
      </c>
      <c r="D101" t="inlineStr">
        <is>
          <t>NORRBOTTENS LÄN</t>
        </is>
      </c>
      <c r="E101" t="inlineStr">
        <is>
          <t>ARJEPLOG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10825-2025</t>
        </is>
      </c>
      <c r="B102" s="1" t="n">
        <v>45722</v>
      </c>
      <c r="C102" s="1" t="n">
        <v>45900</v>
      </c>
      <c r="D102" t="inlineStr">
        <is>
          <t>NORRBOTTENS LÄN</t>
        </is>
      </c>
      <c r="E102" t="inlineStr">
        <is>
          <t>ARJEPLOG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45900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26479-2024</t>
        </is>
      </c>
      <c r="B104" s="1" t="n">
        <v>45468</v>
      </c>
      <c r="C104" s="1" t="n">
        <v>45900</v>
      </c>
      <c r="D104" t="inlineStr">
        <is>
          <t>NORRBOTTENS LÄN</t>
        </is>
      </c>
      <c r="E104" t="inlineStr">
        <is>
          <t>ARJEPLOG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50255-2023</t>
        </is>
      </c>
      <c r="B105" s="1" t="n">
        <v>45216</v>
      </c>
      <c r="C105" s="1" t="n">
        <v>45900</v>
      </c>
      <c r="D105" t="inlineStr">
        <is>
          <t>NORRBOTTENS LÄN</t>
        </is>
      </c>
      <c r="E105" t="inlineStr">
        <is>
          <t>ARJEPLOG</t>
        </is>
      </c>
      <c r="G105" t="n">
        <v>20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61729-2024</t>
        </is>
      </c>
      <c r="B106" s="1" t="n">
        <v>45649</v>
      </c>
      <c r="C106" s="1" t="n">
        <v>45900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36779-2025</t>
        </is>
      </c>
      <c r="B107" s="1" t="n">
        <v>45873</v>
      </c>
      <c r="C107" s="1" t="n">
        <v>45900</v>
      </c>
      <c r="D107" t="inlineStr">
        <is>
          <t>NORRBOTTENS LÄN</t>
        </is>
      </c>
      <c r="E107" t="inlineStr">
        <is>
          <t>ARJEPLOG</t>
        </is>
      </c>
      <c r="G107" t="n">
        <v>17.2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29649-2024</t>
        </is>
      </c>
      <c r="B108" s="1" t="n">
        <v>45484</v>
      </c>
      <c r="C108" s="1" t="n">
        <v>45900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64809-2023</t>
        </is>
      </c>
      <c r="B109" s="1" t="n">
        <v>45281</v>
      </c>
      <c r="C109" s="1" t="n">
        <v>45900</v>
      </c>
      <c r="D109" t="inlineStr">
        <is>
          <t>NORRBOTTENS LÄN</t>
        </is>
      </c>
      <c r="E109" t="inlineStr">
        <is>
          <t>ARJEPLOG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45072-2023</t>
        </is>
      </c>
      <c r="B110" s="1" t="n">
        <v>45187</v>
      </c>
      <c r="C110" s="1" t="n">
        <v>45900</v>
      </c>
      <c r="D110" t="inlineStr">
        <is>
          <t>NORRBOTTENS LÄN</t>
        </is>
      </c>
      <c r="E110" t="inlineStr">
        <is>
          <t>ARJEPLOG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46910-2024</t>
        </is>
      </c>
      <c r="B111" s="1" t="n">
        <v>45583</v>
      </c>
      <c r="C111" s="1" t="n">
        <v>45900</v>
      </c>
      <c r="D111" t="inlineStr">
        <is>
          <t>NORRBOTTENS LÄN</t>
        </is>
      </c>
      <c r="E111" t="inlineStr">
        <is>
          <t>ARJEPLOG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30870-2023</t>
        </is>
      </c>
      <c r="B112" s="1" t="n">
        <v>45113</v>
      </c>
      <c r="C112" s="1" t="n">
        <v>45900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64822-2023</t>
        </is>
      </c>
      <c r="B113" s="1" t="n">
        <v>45281</v>
      </c>
      <c r="C113" s="1" t="n">
        <v>45900</v>
      </c>
      <c r="D113" t="inlineStr">
        <is>
          <t>NORRBOTTENS LÄN</t>
        </is>
      </c>
      <c r="E113" t="inlineStr">
        <is>
          <t>ARJEPLOG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58370-2023</t>
        </is>
      </c>
      <c r="B114" s="1" t="n">
        <v>45250</v>
      </c>
      <c r="C114" s="1" t="n">
        <v>45900</v>
      </c>
      <c r="D114" t="inlineStr">
        <is>
          <t>NORRBOTTENS LÄN</t>
        </is>
      </c>
      <c r="E114" t="inlineStr">
        <is>
          <t>ARJEPLOG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52581-2022</t>
        </is>
      </c>
      <c r="B115" s="1" t="n">
        <v>44874</v>
      </c>
      <c r="C115" s="1" t="n">
        <v>45900</v>
      </c>
      <c r="D115" t="inlineStr">
        <is>
          <t>NORRBOTTENS LÄN</t>
        </is>
      </c>
      <c r="E115" t="inlineStr">
        <is>
          <t>ARJEPLOG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54589-2021</t>
        </is>
      </c>
      <c r="B116" s="1" t="n">
        <v>44473</v>
      </c>
      <c r="C116" s="1" t="n">
        <v>45900</v>
      </c>
      <c r="D116" t="inlineStr">
        <is>
          <t>NORRBOTTENS LÄN</t>
        </is>
      </c>
      <c r="E116" t="inlineStr">
        <is>
          <t>ARJEPLOG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18923-2025</t>
        </is>
      </c>
      <c r="B117" s="1" t="n">
        <v>45764</v>
      </c>
      <c r="C117" s="1" t="n">
        <v>45900</v>
      </c>
      <c r="D117" t="inlineStr">
        <is>
          <t>NORRBOTTENS LÄN</t>
        </is>
      </c>
      <c r="E117" t="inlineStr">
        <is>
          <t>ARJEPLOG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26472-2024</t>
        </is>
      </c>
      <c r="B118" s="1" t="n">
        <v>45469</v>
      </c>
      <c r="C118" s="1" t="n">
        <v>45900</v>
      </c>
      <c r="D118" t="inlineStr">
        <is>
          <t>NORRBOTTENS LÄN</t>
        </is>
      </c>
      <c r="E118" t="inlineStr">
        <is>
          <t>ARJEPLOG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26486-2024</t>
        </is>
      </c>
      <c r="B119" s="1" t="n">
        <v>45469</v>
      </c>
      <c r="C119" s="1" t="n">
        <v>45900</v>
      </c>
      <c r="D119" t="inlineStr">
        <is>
          <t>NORRBOTTENS LÄN</t>
        </is>
      </c>
      <c r="E119" t="inlineStr">
        <is>
          <t>ARJEPLOG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55266-2024</t>
        </is>
      </c>
      <c r="B120" s="1" t="n">
        <v>45621</v>
      </c>
      <c r="C120" s="1" t="n">
        <v>45900</v>
      </c>
      <c r="D120" t="inlineStr">
        <is>
          <t>NORRBOTTENS LÄN</t>
        </is>
      </c>
      <c r="E120" t="inlineStr">
        <is>
          <t>ARJEPLOG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20789-2022</t>
        </is>
      </c>
      <c r="B121" s="1" t="n">
        <v>44701</v>
      </c>
      <c r="C121" s="1" t="n">
        <v>45900</v>
      </c>
      <c r="D121" t="inlineStr">
        <is>
          <t>NORRBOTTENS LÄN</t>
        </is>
      </c>
      <c r="E121" t="inlineStr">
        <is>
          <t>ARJEPLOG</t>
        </is>
      </c>
      <c r="G121" t="n">
        <v>20.3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26773-2022</t>
        </is>
      </c>
      <c r="B122" s="1" t="n">
        <v>44732</v>
      </c>
      <c r="C122" s="1" t="n">
        <v>45900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34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45900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41061-2024</t>
        </is>
      </c>
      <c r="B124" s="1" t="n">
        <v>45558</v>
      </c>
      <c r="C124" s="1" t="n">
        <v>45900</v>
      </c>
      <c r="D124" t="inlineStr">
        <is>
          <t>NORRBOTTENS LÄN</t>
        </is>
      </c>
      <c r="E124" t="inlineStr">
        <is>
          <t>ARJEPLOG</t>
        </is>
      </c>
      <c r="G124" t="n">
        <v>23.1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45417-2024</t>
        </is>
      </c>
      <c r="B125" s="1" t="n">
        <v>45576</v>
      </c>
      <c r="C125" s="1" t="n">
        <v>45900</v>
      </c>
      <c r="D125" t="inlineStr">
        <is>
          <t>NORRBOTTENS LÄN</t>
        </is>
      </c>
      <c r="E125" t="inlineStr">
        <is>
          <t>ARJEPLOG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42274-2022</t>
        </is>
      </c>
      <c r="B126" s="1" t="n">
        <v>44830</v>
      </c>
      <c r="C126" s="1" t="n">
        <v>45900</v>
      </c>
      <c r="D126" t="inlineStr">
        <is>
          <t>NORRBOTTENS LÄN</t>
        </is>
      </c>
      <c r="E126" t="inlineStr">
        <is>
          <t>ARJEPLOG</t>
        </is>
      </c>
      <c r="F126" t="inlineStr">
        <is>
          <t>SCA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25239-2023</t>
        </is>
      </c>
      <c r="B127" s="1" t="n">
        <v>45079</v>
      </c>
      <c r="C127" s="1" t="n">
        <v>45900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12447-2025</t>
        </is>
      </c>
      <c r="B128" s="1" t="n">
        <v>45730.48715277778</v>
      </c>
      <c r="C128" s="1" t="n">
        <v>45900</v>
      </c>
      <c r="D128" t="inlineStr">
        <is>
          <t>NORRBOTTENS LÄN</t>
        </is>
      </c>
      <c r="E128" t="inlineStr">
        <is>
          <t>ARJEPLOG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2025-08-31T08:30:28Z</dcterms:created>
  <dcterms:modified xmlns:dcterms="http://purl.org/dc/terms/" xmlns:xsi="http://www.w3.org/2001/XMLSchema-instance" xsi:type="dcterms:W3CDTF">2025-08-31T08:30:28Z</dcterms:modified>
</cp:coreProperties>
</file>