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46323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46323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46323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46323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45924-2023</t>
        </is>
      </c>
      <c r="B6" t="inlineStr">
        <is>
          <t>avverkningsanmälan</t>
        </is>
      </c>
      <c r="C6" t="inlineStr">
        <is>
          <t>Föryngringsavverkning</t>
        </is>
      </c>
      <c r="D6" s="1" t="n">
        <v>45189</v>
      </c>
      <c r="E6" s="1" t="n">
        <v>46323</v>
      </c>
      <c r="F6" t="inlineStr">
        <is>
          <t>NORRBOTTENS LÄN</t>
        </is>
      </c>
      <c r="G6" t="inlineStr">
        <is>
          <t>ARJEPLOG</t>
        </is>
      </c>
      <c r="I6" t="n">
        <v>11.2</v>
      </c>
      <c r="J6" t="n">
        <v>4</v>
      </c>
      <c r="K6" t="n">
        <v>6</v>
      </c>
      <c r="L6" t="n">
        <v>18</v>
      </c>
      <c r="M6" t="n">
        <v>8</v>
      </c>
      <c r="N6" t="n">
        <v>0</v>
      </c>
      <c r="O6" t="n">
        <v>0</v>
      </c>
      <c r="P6" t="n">
        <v>0</v>
      </c>
      <c r="Q6" t="n">
        <v>26</v>
      </c>
      <c r="R6" t="n">
        <v>8</v>
      </c>
      <c r="S6" t="n">
        <v>33</v>
      </c>
      <c r="T6" t="n">
        <v>133</v>
      </c>
      <c r="U6" t="n">
        <v>133</v>
      </c>
      <c r="V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6">
        <f>HYPERLINK("https://klasma.github.io/Logging_2506/artfynd/A 45924-2023 artfynd.xlsx", "A 45924-2023")</f>
        <v/>
      </c>
      <c r="X6">
        <f>HYPERLINK("https://klasma.github.io/Logging_2506/kartor/A 45924-2023 karta.png", "A 45924-2023")</f>
        <v/>
      </c>
      <c r="Y6">
        <f>HYPERLINK("https://klasma.github.io/Logging_2506/kartor_geotiff/A 45924-2023 georefererad karta.tif", "A 45924-2023")</f>
        <v/>
      </c>
      <c r="AA6">
        <f>HYPERLINK("https://klasma.github.io/Logging_2506/klagomål/A 45924-2023 FSC-klagomål.docx", "A 45924-2023")</f>
        <v/>
      </c>
      <c r="AB6">
        <f>HYPERLINK("https://klasma.github.io/Logging_2506/klagomålsmail/A 45924-2023 FSC-klagomål mail.docx", "A 45924-2023")</f>
        <v/>
      </c>
      <c r="AC6">
        <f>HYPERLINK("https://klasma.github.io/Logging_2506/tillsyn/A 45924-2023 tillsynsbegäran.docx", "A 45924-2023")</f>
        <v/>
      </c>
      <c r="AD6">
        <f>HYPERLINK("https://klasma.github.io/Logging_2506/tillsynsmail/A 45924-2023 tillsynsbegäran mail.docx", "A 45924-2023")</f>
        <v/>
      </c>
      <c r="AE6">
        <f>HYPERLINK("https://klasma.github.io/Logging_2506/fåglar/A 45924-2023 prioriterade fågelarter.docx", "A 45924-2023")</f>
        <v/>
      </c>
    </row>
    <row r="7" ht="15" customHeight="1">
      <c r="A7" t="inlineStr">
        <is>
          <t>A 64809-2023</t>
        </is>
      </c>
      <c r="B7" t="inlineStr">
        <is>
          <t>avverkningsanmälan</t>
        </is>
      </c>
      <c r="C7" t="inlineStr">
        <is>
          <t>Föryngringsavverkning</t>
        </is>
      </c>
      <c r="D7" s="1" t="n">
        <v>45281</v>
      </c>
      <c r="E7" s="1" t="n">
        <v>46323</v>
      </c>
      <c r="F7" t="inlineStr">
        <is>
          <t>NORRBOTTENS LÄN</t>
        </is>
      </c>
      <c r="G7" t="inlineStr">
        <is>
          <t>ARJEPLOG</t>
        </is>
      </c>
      <c r="I7" t="n">
        <v>17.8</v>
      </c>
      <c r="J7" t="n">
        <v>7</v>
      </c>
      <c r="K7" t="n">
        <v>10</v>
      </c>
      <c r="L7" t="n">
        <v>17</v>
      </c>
      <c r="M7" t="n">
        <v>3</v>
      </c>
      <c r="N7" t="n">
        <v>0</v>
      </c>
      <c r="O7" t="n">
        <v>0</v>
      </c>
      <c r="P7" t="n">
        <v>0</v>
      </c>
      <c r="Q7" t="n">
        <v>20</v>
      </c>
      <c r="R7" t="n">
        <v>3</v>
      </c>
      <c r="S7" t="n">
        <v>33</v>
      </c>
      <c r="T7" t="n">
        <v>100</v>
      </c>
      <c r="U7" t="n">
        <v>100</v>
      </c>
      <c r="V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7">
        <f>HYPERLINK("https://klasma.github.io/Logging_2506/artfynd/A 64809-2023 artfynd.xlsx", "A 64809-2023")</f>
        <v/>
      </c>
      <c r="X7">
        <f>HYPERLINK("https://klasma.github.io/Logging_2506/kartor/A 64809-2023 karta.png", "A 64809-2023")</f>
        <v/>
      </c>
      <c r="Y7">
        <f>HYPERLINK("https://klasma.github.io/Logging_2506/kartor_geotiff/A 64809-2023 georefererad karta.tif", "A 64809-2023")</f>
        <v/>
      </c>
      <c r="AA7">
        <f>HYPERLINK("https://klasma.github.io/Logging_2506/klagomål/A 64809-2023 FSC-klagomål.docx", "A 64809-2023")</f>
        <v/>
      </c>
      <c r="AB7">
        <f>HYPERLINK("https://klasma.github.io/Logging_2506/klagomålsmail/A 64809-2023 FSC-klagomål mail.docx", "A 64809-2023")</f>
        <v/>
      </c>
      <c r="AC7">
        <f>HYPERLINK("https://klasma.github.io/Logging_2506/tillsyn/A 64809-2023 tillsynsbegäran.docx", "A 64809-2023")</f>
        <v/>
      </c>
      <c r="AD7">
        <f>HYPERLINK("https://klasma.github.io/Logging_2506/tillsynsmail/A 64809-2023 tillsynsbegäran mail.docx", "A 64809-2023")</f>
        <v/>
      </c>
      <c r="AE7">
        <f>HYPERLINK("https://klasma.github.io/Logging_2506/fåglar/A 64809-2023 prioriterade fågelarter.docx", "A 64809-2023")</f>
        <v/>
      </c>
    </row>
    <row r="8" ht="15" customHeight="1">
      <c r="A8" t="inlineStr">
        <is>
          <t>A 29667-2025</t>
        </is>
      </c>
      <c r="B8" t="inlineStr">
        <is>
          <t>avverkningsanmälan</t>
        </is>
      </c>
      <c r="C8" t="inlineStr">
        <is>
          <t>Föryngringsavverkning</t>
        </is>
      </c>
      <c r="D8" s="1" t="n">
        <v>45825</v>
      </c>
      <c r="E8" s="1" t="n">
        <v>46323</v>
      </c>
      <c r="F8" t="inlineStr">
        <is>
          <t>NORRBOTTENS LÄN</t>
        </is>
      </c>
      <c r="G8" t="inlineStr">
        <is>
          <t>ARJEPLOG</t>
        </is>
      </c>
      <c r="H8" t="inlineStr">
        <is>
          <t>Allmännings- och besparingsskogar</t>
        </is>
      </c>
      <c r="I8" t="n">
        <v>20.1</v>
      </c>
      <c r="J8" t="n">
        <v>9</v>
      </c>
      <c r="K8" t="n">
        <v>8</v>
      </c>
      <c r="L8" t="n">
        <v>16</v>
      </c>
      <c r="M8" t="n">
        <v>6</v>
      </c>
      <c r="N8" t="n">
        <v>0</v>
      </c>
      <c r="O8" t="n">
        <v>0</v>
      </c>
      <c r="P8" t="n">
        <v>0</v>
      </c>
      <c r="Q8" t="n">
        <v>22</v>
      </c>
      <c r="R8" t="n">
        <v>6</v>
      </c>
      <c r="S8" t="n">
        <v>33</v>
      </c>
      <c r="T8" t="n">
        <v>261</v>
      </c>
      <c r="U8" t="n">
        <v>261</v>
      </c>
      <c r="V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8">
        <f>HYPERLINK("https://klasma.github.io/Logging_2506/artfynd/A 29667-2025 artfynd.xlsx", "A 29667-2025")</f>
        <v/>
      </c>
      <c r="X8">
        <f>HYPERLINK("https://klasma.github.io/Logging_2506/kartor/A 29667-2025 karta.png", "A 29667-2025")</f>
        <v/>
      </c>
      <c r="Y8">
        <f>HYPERLINK("https://klasma.github.io/Logging_2506/kartor_geotiff/A 29667-2025 georefererad karta.tif", "A 29667-2025")</f>
        <v/>
      </c>
      <c r="AA8">
        <f>HYPERLINK("https://klasma.github.io/Logging_2506/klagomål/A 29667-2025 FSC-klagomål.docx", "A 29667-2025")</f>
        <v/>
      </c>
      <c r="AB8">
        <f>HYPERLINK("https://klasma.github.io/Logging_2506/klagomålsmail/A 29667-2025 FSC-klagomål mail.docx", "A 29667-2025")</f>
        <v/>
      </c>
      <c r="AC8">
        <f>HYPERLINK("https://klasma.github.io/Logging_2506/tillsyn/A 29667-2025 tillsynsbegäran.docx", "A 29667-2025")</f>
        <v/>
      </c>
      <c r="AD8">
        <f>HYPERLINK("https://klasma.github.io/Logging_2506/tillsynsmail/A 29667-2025 tillsynsbegäran mail.docx", "A 29667-2025")</f>
        <v/>
      </c>
      <c r="AE8">
        <f>HYPERLINK("https://klasma.github.io/Logging_2506/fåglar/A 29667-2025 prioriterade fågelarter.docx", "A 29667-2025")</f>
        <v/>
      </c>
    </row>
    <row r="9" ht="15" customHeight="1">
      <c r="A9" t="inlineStr">
        <is>
          <t>A 30870-2023</t>
        </is>
      </c>
      <c r="B9" t="inlineStr">
        <is>
          <t>avverkningsanmälan</t>
        </is>
      </c>
      <c r="C9" t="inlineStr">
        <is>
          <t>Föryngringsavverkning</t>
        </is>
      </c>
      <c r="D9" s="1" t="n">
        <v>45113</v>
      </c>
      <c r="E9" s="1" t="n">
        <v>46323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46323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46323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46323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46323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46323</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46323</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46323</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46323</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46323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46323</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46323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45417-2024</t>
        </is>
      </c>
      <c r="B21" t="inlineStr">
        <is>
          <t>avverkningsanmälan</t>
        </is>
      </c>
      <c r="C21" t="inlineStr">
        <is>
          <t>Föryngringsavverkning</t>
        </is>
      </c>
      <c r="D21" s="1" t="n">
        <v>45576</v>
      </c>
      <c r="E21" s="1" t="n">
        <v>46323</v>
      </c>
      <c r="F21" t="inlineStr">
        <is>
          <t>NORRBOTTENS LÄN</t>
        </is>
      </c>
      <c r="G21" t="inlineStr">
        <is>
          <t>ARJEPLOG</t>
        </is>
      </c>
      <c r="I21" t="n">
        <v>11.5</v>
      </c>
      <c r="J21" t="n">
        <v>2</v>
      </c>
      <c r="K21" t="n">
        <v>0</v>
      </c>
      <c r="L21" t="n">
        <v>10</v>
      </c>
      <c r="M21" t="n">
        <v>0</v>
      </c>
      <c r="N21" t="n">
        <v>0</v>
      </c>
      <c r="O21" t="n">
        <v>0</v>
      </c>
      <c r="P21" t="n">
        <v>0</v>
      </c>
      <c r="Q21" t="n">
        <v>10</v>
      </c>
      <c r="R21" t="n">
        <v>0</v>
      </c>
      <c r="S21" t="n">
        <v>10</v>
      </c>
      <c r="T21" t="n">
        <v>20</v>
      </c>
      <c r="U21" t="n">
        <v>20</v>
      </c>
      <c r="V21" s="2" t="inlineStr">
        <is>
          <t>Blanksvart spiklav
Dvärgbägarlav
Knottrig blåslav
Kortskaftad ärgspik
Rosenticka
Talltita
Tretåig hackspett
Ullticka
Vedskivlav
Vedtrappmossa</t>
        </is>
      </c>
      <c r="W21">
        <f>HYPERLINK("https://klasma.github.io/Logging_2506/artfynd/A 45417-2024 artfynd.xlsx", "A 45417-2024")</f>
        <v/>
      </c>
      <c r="X21">
        <f>HYPERLINK("https://klasma.github.io/Logging_2506/kartor/A 45417-2024 karta.png", "A 45417-2024")</f>
        <v/>
      </c>
      <c r="Y21">
        <f>HYPERLINK("https://klasma.github.io/Logging_2506/kartor_geotiff/A 45417-2024 georefererad karta.tif", "A 45417-2024")</f>
        <v/>
      </c>
      <c r="AA21">
        <f>HYPERLINK("https://klasma.github.io/Logging_2506/klagomål/A 45417-2024 FSC-klagomål.docx", "A 45417-2024")</f>
        <v/>
      </c>
      <c r="AB21">
        <f>HYPERLINK("https://klasma.github.io/Logging_2506/klagomålsmail/A 45417-2024 FSC-klagomål mail.docx", "A 45417-2024")</f>
        <v/>
      </c>
      <c r="AC21">
        <f>HYPERLINK("https://klasma.github.io/Logging_2506/tillsyn/A 45417-2024 tillsynsbegäran.docx", "A 45417-2024")</f>
        <v/>
      </c>
      <c r="AD21">
        <f>HYPERLINK("https://klasma.github.io/Logging_2506/tillsynsmail/A 45417-2024 tillsynsbegäran mail.docx", "A 45417-2024")</f>
        <v/>
      </c>
      <c r="AE21">
        <f>HYPERLINK("https://klasma.github.io/Logging_2506/fåglar/A 45417-2024 prioriterade fågelarter.docx", "A 45417-2024")</f>
        <v/>
      </c>
    </row>
    <row r="22" ht="15" customHeight="1">
      <c r="A22" t="inlineStr">
        <is>
          <t>A 45031-2023</t>
        </is>
      </c>
      <c r="B22" t="inlineStr">
        <is>
          <t>avverkningsanmälan</t>
        </is>
      </c>
      <c r="C22" t="inlineStr">
        <is>
          <t>Föryngringsavverkning</t>
        </is>
      </c>
      <c r="D22" s="1" t="n">
        <v>45190</v>
      </c>
      <c r="E22" s="1" t="n">
        <v>46323</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1479-2026</t>
        </is>
      </c>
      <c r="B23" t="inlineStr">
        <is>
          <t>avverkningsanmälan</t>
        </is>
      </c>
      <c r="C23" t="inlineStr">
        <is>
          <t>Föryngringsavverkning</t>
        </is>
      </c>
      <c r="D23" s="1" t="n">
        <v>46033</v>
      </c>
      <c r="E23" s="1" t="n">
        <v>46323</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46323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45030-2023</t>
        </is>
      </c>
      <c r="B25" t="inlineStr">
        <is>
          <t>avverkningsanmälan</t>
        </is>
      </c>
      <c r="C25" t="inlineStr">
        <is>
          <t>Föryngringsavverkning</t>
        </is>
      </c>
      <c r="D25" s="1" t="n">
        <v>45190</v>
      </c>
      <c r="E25" s="1" t="n">
        <v>46323</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45030-2023 artfynd.xlsx", "A 45030-2023")</f>
        <v/>
      </c>
      <c r="X25">
        <f>HYPERLINK("https://klasma.github.io/Logging_2506/kartor/A 45030-2023 karta.png", "A 45030-2023")</f>
        <v/>
      </c>
      <c r="Y25">
        <f>HYPERLINK("https://klasma.github.io/Logging_2506/kartor_geotiff/A 45030-2023 georefererad karta.tif", "A 45030-2023")</f>
        <v/>
      </c>
      <c r="AA25">
        <f>HYPERLINK("https://klasma.github.io/Logging_2506/klagomål/A 45030-2023 FSC-klagomål.docx", "A 45030-2023")</f>
        <v/>
      </c>
      <c r="AB25">
        <f>HYPERLINK("https://klasma.github.io/Logging_2506/klagomålsmail/A 45030-2023 FSC-klagomål mail.docx", "A 45030-2023")</f>
        <v/>
      </c>
      <c r="AC25">
        <f>HYPERLINK("https://klasma.github.io/Logging_2506/tillsyn/A 45030-2023 tillsynsbegäran.docx", "A 45030-2023")</f>
        <v/>
      </c>
      <c r="AD25">
        <f>HYPERLINK("https://klasma.github.io/Logging_2506/tillsynsmail/A 45030-2023 tillsynsbegäran mail.docx", "A 45030-2023")</f>
        <v/>
      </c>
      <c r="AE25">
        <f>HYPERLINK("https://klasma.github.io/Logging_2506/fåglar/A 45030-2023 prioriterade fågelarter.docx", "A 45030-2023")</f>
        <v/>
      </c>
    </row>
    <row r="26" ht="15" customHeight="1">
      <c r="A26" t="inlineStr">
        <is>
          <t>A 31143-2025</t>
        </is>
      </c>
      <c r="B26" t="inlineStr">
        <is>
          <t>avverkningsanmälan</t>
        </is>
      </c>
      <c r="C26" t="inlineStr">
        <is>
          <t>Föryngringsavverkning</t>
        </is>
      </c>
      <c r="D26" s="1" t="n">
        <v>45831</v>
      </c>
      <c r="E26" s="1" t="n">
        <v>46323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46323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46323</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28351-2025</t>
        </is>
      </c>
      <c r="B29" t="inlineStr">
        <is>
          <t>avverkningsanmälan</t>
        </is>
      </c>
      <c r="C29" t="inlineStr">
        <is>
          <t>Föryngringsavverkning</t>
        </is>
      </c>
      <c r="D29" s="1" t="n">
        <v>45818</v>
      </c>
      <c r="E29" s="1" t="n">
        <v>46323</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48673-2023</t>
        </is>
      </c>
      <c r="B30" t="inlineStr">
        <is>
          <t>avverkningsanmälan</t>
        </is>
      </c>
      <c r="C30" t="inlineStr">
        <is>
          <t>Föryngringsavverkning</t>
        </is>
      </c>
      <c r="D30" s="1" t="n">
        <v>45203</v>
      </c>
      <c r="E30" s="1" t="n">
        <v>46323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46323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46323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46323</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12403-2025</t>
        </is>
      </c>
      <c r="B34" t="inlineStr">
        <is>
          <t>avverkningsanmälan</t>
        </is>
      </c>
      <c r="C34" t="inlineStr">
        <is>
          <t>Föryngringsavverkning</t>
        </is>
      </c>
      <c r="D34" s="1" t="n">
        <v>45730</v>
      </c>
      <c r="E34" s="1" t="n">
        <v>46323</v>
      </c>
      <c r="F34" t="inlineStr">
        <is>
          <t>NORRBOTTENS LÄN</t>
        </is>
      </c>
      <c r="G34" t="inlineStr">
        <is>
          <t>ARJEPLOG</t>
        </is>
      </c>
      <c r="I34" t="n">
        <v>10.1</v>
      </c>
      <c r="J34" t="n">
        <v>1</v>
      </c>
      <c r="K34" t="n">
        <v>0</v>
      </c>
      <c r="L34" t="n">
        <v>3</v>
      </c>
      <c r="M34" t="n">
        <v>1</v>
      </c>
      <c r="N34" t="n">
        <v>0</v>
      </c>
      <c r="O34" t="n">
        <v>0</v>
      </c>
      <c r="P34" t="n">
        <v>0</v>
      </c>
      <c r="Q34" t="n">
        <v>4</v>
      </c>
      <c r="R34" t="n">
        <v>1</v>
      </c>
      <c r="S34" t="n">
        <v>4</v>
      </c>
      <c r="T34" t="n">
        <v>9</v>
      </c>
      <c r="U34" t="n">
        <v>9</v>
      </c>
      <c r="V34" s="2" t="inlineStr">
        <is>
          <t>Garnlav
Harticka
Tretåig hackspett
Vedskivlav</t>
        </is>
      </c>
      <c r="W34">
        <f>HYPERLINK("https://klasma.github.io/Logging_2506/artfynd/A 12403-2025 artfynd.xlsx", "A 12403-2025")</f>
        <v/>
      </c>
      <c r="X34">
        <f>HYPERLINK("https://klasma.github.io/Logging_2506/kartor/A 12403-2025 karta.png", "A 12403-2025")</f>
        <v/>
      </c>
      <c r="Y34">
        <f>HYPERLINK("https://klasma.github.io/Logging_2506/kartor_geotiff/A 12403-2025 georefererad karta.tif", "A 12403-2025")</f>
        <v/>
      </c>
      <c r="AA34">
        <f>HYPERLINK("https://klasma.github.io/Logging_2506/klagomål/A 12403-2025 FSC-klagomål.docx", "A 12403-2025")</f>
        <v/>
      </c>
      <c r="AB34">
        <f>HYPERLINK("https://klasma.github.io/Logging_2506/klagomålsmail/A 12403-2025 FSC-klagomål mail.docx", "A 12403-2025")</f>
        <v/>
      </c>
      <c r="AC34">
        <f>HYPERLINK("https://klasma.github.io/Logging_2506/tillsyn/A 12403-2025 tillsynsbegäran.docx", "A 12403-2025")</f>
        <v/>
      </c>
      <c r="AD34">
        <f>HYPERLINK("https://klasma.github.io/Logging_2506/tillsynsmail/A 12403-2025 tillsynsbegäran mail.docx", "A 12403-2025")</f>
        <v/>
      </c>
      <c r="AE34">
        <f>HYPERLINK("https://klasma.github.io/Logging_2506/fåglar/A 12403-2025 prioriterade fågelarter.docx", "A 12403-2025")</f>
        <v/>
      </c>
    </row>
    <row r="35" ht="15" customHeight="1">
      <c r="A35" t="inlineStr">
        <is>
          <t>A 64803-2023</t>
        </is>
      </c>
      <c r="B35" t="inlineStr">
        <is>
          <t>avverkningsanmälan</t>
        </is>
      </c>
      <c r="C35" t="inlineStr">
        <is>
          <t>Föryngringsavverkning</t>
        </is>
      </c>
      <c r="D35" s="1" t="n">
        <v>45281</v>
      </c>
      <c r="E35" s="1" t="n">
        <v>46323</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26143-2024</t>
        </is>
      </c>
      <c r="B36" t="inlineStr">
        <is>
          <t>avverkningsanmälan</t>
        </is>
      </c>
      <c r="C36" t="inlineStr">
        <is>
          <t>Föryngringsavverkning</t>
        </is>
      </c>
      <c r="D36" s="1" t="n">
        <v>45467</v>
      </c>
      <c r="E36" s="1" t="n">
        <v>46323</v>
      </c>
      <c r="F36" t="inlineStr">
        <is>
          <t>NORRBOTTENS LÄN</t>
        </is>
      </c>
      <c r="G36" t="inlineStr">
        <is>
          <t>ARJEPLOG</t>
        </is>
      </c>
      <c r="I36" t="n">
        <v>8.1</v>
      </c>
      <c r="J36" t="n">
        <v>0</v>
      </c>
      <c r="K36" t="n">
        <v>1</v>
      </c>
      <c r="L36" t="n">
        <v>2</v>
      </c>
      <c r="M36" t="n">
        <v>0</v>
      </c>
      <c r="N36" t="n">
        <v>0</v>
      </c>
      <c r="O36" t="n">
        <v>0</v>
      </c>
      <c r="P36" t="n">
        <v>0</v>
      </c>
      <c r="Q36" t="n">
        <v>2</v>
      </c>
      <c r="R36" t="n">
        <v>0</v>
      </c>
      <c r="S36" t="n">
        <v>3</v>
      </c>
      <c r="T36" t="n">
        <v>3</v>
      </c>
      <c r="U36" t="n">
        <v>3</v>
      </c>
      <c r="V36" s="2" t="inlineStr">
        <is>
          <t>Blanksvart spiklav
Knottrig blåslav
Vedticka</t>
        </is>
      </c>
      <c r="W36">
        <f>HYPERLINK("https://klasma.github.io/Logging_2506/artfynd/A 26143-2024 artfynd.xlsx", "A 26143-2024")</f>
        <v/>
      </c>
      <c r="X36">
        <f>HYPERLINK("https://klasma.github.io/Logging_2506/kartor/A 26143-2024 karta.png", "A 26143-2024")</f>
        <v/>
      </c>
      <c r="Y36">
        <f>HYPERLINK("https://klasma.github.io/Logging_2506/kartor_geotiff/A 26143-2024 georefererad karta.tif", "A 26143-2024")</f>
        <v/>
      </c>
      <c r="AA36">
        <f>HYPERLINK("https://klasma.github.io/Logging_2506/klagomål/A 26143-2024 FSC-klagomål.docx", "A 26143-2024")</f>
        <v/>
      </c>
      <c r="AB36">
        <f>HYPERLINK("https://klasma.github.io/Logging_2506/klagomålsmail/A 26143-2024 FSC-klagomål mail.docx", "A 26143-2024")</f>
        <v/>
      </c>
      <c r="AC36">
        <f>HYPERLINK("https://klasma.github.io/Logging_2506/tillsyn/A 26143-2024 tillsynsbegäran.docx", "A 26143-2024")</f>
        <v/>
      </c>
      <c r="AD36">
        <f>HYPERLINK("https://klasma.github.io/Logging_2506/tillsynsmail/A 26143-2024 tillsynsbegäran mail.docx", "A 26143-2024")</f>
        <v/>
      </c>
    </row>
    <row r="37" ht="15" customHeight="1">
      <c r="A37" t="inlineStr">
        <is>
          <t>A 10525-2024</t>
        </is>
      </c>
      <c r="B37" t="inlineStr">
        <is>
          <t>avverkningsanmälan</t>
        </is>
      </c>
      <c r="C37" t="inlineStr">
        <is>
          <t>Föryngringsavverkning</t>
        </is>
      </c>
      <c r="D37" s="1" t="n">
        <v>45366</v>
      </c>
      <c r="E37" s="1" t="n">
        <v>46323</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15171-2022</t>
        </is>
      </c>
      <c r="B38" t="inlineStr">
        <is>
          <t>avverkningsanmälan</t>
        </is>
      </c>
      <c r="C38" t="inlineStr">
        <is>
          <t>Föryngringsavverkning</t>
        </is>
      </c>
      <c r="D38" s="1" t="n">
        <v>44658</v>
      </c>
      <c r="E38" s="1" t="n">
        <v>46323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36564-2026</t>
        </is>
      </c>
      <c r="B39" t="inlineStr">
        <is>
          <t>avverkningsanmälan</t>
        </is>
      </c>
      <c r="C39" t="inlineStr">
        <is>
          <t>Föryngringsavverkning</t>
        </is>
      </c>
      <c r="D39" s="1" t="n">
        <v>46269</v>
      </c>
      <c r="E39" s="1" t="n">
        <v>46323</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41375-2024</t>
        </is>
      </c>
      <c r="B40" t="inlineStr">
        <is>
          <t>avverkningsanmälan</t>
        </is>
      </c>
      <c r="C40" t="inlineStr">
        <is>
          <t>Avverkning för annat ändamål</t>
        </is>
      </c>
      <c r="D40" s="1" t="n">
        <v>45559</v>
      </c>
      <c r="E40" s="1" t="n">
        <v>46323</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46323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46323</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20905-2025</t>
        </is>
      </c>
      <c r="B43" t="inlineStr">
        <is>
          <t>avverkningsanmälan</t>
        </is>
      </c>
      <c r="C43" t="inlineStr">
        <is>
          <t>Föryngringsavverkning</t>
        </is>
      </c>
      <c r="D43" s="1" t="n">
        <v>45777</v>
      </c>
      <c r="E43" s="1" t="n">
        <v>46323</v>
      </c>
      <c r="F43" t="inlineStr">
        <is>
          <t>NORRBOTTENS LÄN</t>
        </is>
      </c>
      <c r="G43" t="inlineStr">
        <is>
          <t>ARJEPLOG</t>
        </is>
      </c>
      <c r="I43" t="n">
        <v>10.6</v>
      </c>
      <c r="J43" t="n">
        <v>0</v>
      </c>
      <c r="K43" t="n">
        <v>0</v>
      </c>
      <c r="L43" t="n">
        <v>1</v>
      </c>
      <c r="M43" t="n">
        <v>0</v>
      </c>
      <c r="N43" t="n">
        <v>0</v>
      </c>
      <c r="O43" t="n">
        <v>0</v>
      </c>
      <c r="P43" t="n">
        <v>0</v>
      </c>
      <c r="Q43" t="n">
        <v>1</v>
      </c>
      <c r="R43" t="n">
        <v>0</v>
      </c>
      <c r="S43" t="n">
        <v>1</v>
      </c>
      <c r="T43" t="n">
        <v>1</v>
      </c>
      <c r="U43" t="n">
        <v>0</v>
      </c>
      <c r="V43" s="2" t="inlineStr">
        <is>
          <t>Vitfläckig guldvinge</t>
        </is>
      </c>
      <c r="W43">
        <f>HYPERLINK("https://klasma.github.io/Logging_2506/artfynd/A 20905-2025 artfynd.xlsx", "A 20905-2025")</f>
        <v/>
      </c>
      <c r="X43">
        <f>HYPERLINK("https://klasma.github.io/Logging_2506/kartor/A 20905-2025 karta.png", "A 20905-2025")</f>
        <v/>
      </c>
      <c r="Y43">
        <f>HYPERLINK("https://klasma.github.io/Logging_2506/kartor_geotiff/A 20905-2025 georefererad karta.tif", "A 20905-2025")</f>
        <v/>
      </c>
      <c r="AA43">
        <f>HYPERLINK("https://klasma.github.io/Logging_2506/klagomål/A 20905-2025 FSC-klagomål.docx", "A 20905-2025")</f>
        <v/>
      </c>
      <c r="AB43">
        <f>HYPERLINK("https://klasma.github.io/Logging_2506/klagomålsmail/A 20905-2025 FSC-klagomål mail.docx", "A 20905-2025")</f>
        <v/>
      </c>
      <c r="AC43">
        <f>HYPERLINK("https://klasma.github.io/Logging_2506/tillsyn/A 20905-2025 tillsynsbegäran.docx", "A 20905-2025")</f>
        <v/>
      </c>
      <c r="AD43">
        <f>HYPERLINK("https://klasma.github.io/Logging_2506/tillsynsmail/A 20905-2025 tillsynsbegäran mail.docx", "A 20905-2025")</f>
        <v/>
      </c>
    </row>
    <row r="44" ht="15" customHeight="1">
      <c r="A44" t="inlineStr">
        <is>
          <t>A 10476-2026</t>
        </is>
      </c>
      <c r="B44" t="inlineStr">
        <is>
          <t>avverkningsanmälan</t>
        </is>
      </c>
      <c r="C44" t="inlineStr">
        <is>
          <t>Föryngringsavverkning</t>
        </is>
      </c>
      <c r="D44" s="1" t="n">
        <v>46076</v>
      </c>
      <c r="E44" s="1" t="n">
        <v>46323</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17549-2023</t>
        </is>
      </c>
      <c r="B45" t="inlineStr">
        <is>
          <t>avverkningsanmälan</t>
        </is>
      </c>
      <c r="C45" t="inlineStr">
        <is>
          <t>Föryngringsavverkning</t>
        </is>
      </c>
      <c r="D45" s="1" t="n">
        <v>45034</v>
      </c>
      <c r="E45" s="1" t="n">
        <v>46323</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46323</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66844-2021</t>
        </is>
      </c>
      <c r="B47" t="inlineStr">
        <is>
          <t>avverkningsanmälan</t>
        </is>
      </c>
      <c r="C47" t="inlineStr">
        <is>
          <t>Föryngringsavverkning</t>
        </is>
      </c>
      <c r="D47" s="1" t="n">
        <v>44520</v>
      </c>
      <c r="E47" s="1" t="n">
        <v>46323</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44751-2022</t>
        </is>
      </c>
      <c r="B48" t="inlineStr">
        <is>
          <t>avverkningsanmälan</t>
        </is>
      </c>
      <c r="C48" t="inlineStr">
        <is>
          <t>Föryngringsavverkning</t>
        </is>
      </c>
      <c r="D48" s="1" t="n">
        <v>44840</v>
      </c>
      <c r="E48" s="1" t="n">
        <v>46323</v>
      </c>
      <c r="F48" t="inlineStr">
        <is>
          <t>NORRBOTTENS LÄN</t>
        </is>
      </c>
      <c r="G48" t="inlineStr">
        <is>
          <t>ARJEPLOG</t>
        </is>
      </c>
      <c r="H48" t="inlineStr">
        <is>
          <t>SCA</t>
        </is>
      </c>
      <c r="I48" t="n">
        <v>26.1</v>
      </c>
      <c r="J48" t="n">
        <v>0</v>
      </c>
      <c r="K48" t="n">
        <v>0</v>
      </c>
      <c r="L48" t="n">
        <v>0</v>
      </c>
      <c r="M48" t="n">
        <v>0</v>
      </c>
      <c r="N48" t="n">
        <v>0</v>
      </c>
      <c r="O48" t="n">
        <v>0</v>
      </c>
      <c r="P48" t="n">
        <v>0</v>
      </c>
      <c r="Q48" t="n">
        <v>0</v>
      </c>
      <c r="R48" t="n">
        <v>0</v>
      </c>
      <c r="S48" t="n">
        <v>0</v>
      </c>
      <c r="T48" t="n">
        <v>0</v>
      </c>
      <c r="U48" t="n">
        <v>0</v>
      </c>
      <c r="V48" s="2" t="inlineStr"/>
    </row>
    <row r="49" ht="15" customHeight="1">
      <c r="A49" t="inlineStr">
        <is>
          <t>A 52573-2022</t>
        </is>
      </c>
      <c r="B49" t="inlineStr">
        <is>
          <t>avverkningsanmälan</t>
        </is>
      </c>
      <c r="C49" t="inlineStr">
        <is>
          <t>Föryngringsavverkning</t>
        </is>
      </c>
      <c r="D49" s="1" t="n">
        <v>44874</v>
      </c>
      <c r="E49" s="1" t="n">
        <v>46323</v>
      </c>
      <c r="F49" t="inlineStr">
        <is>
          <t>NORRBOTTENS LÄN</t>
        </is>
      </c>
      <c r="G49" t="inlineStr">
        <is>
          <t>ARJEPLOG</t>
        </is>
      </c>
      <c r="I49" t="n">
        <v>7.7</v>
      </c>
      <c r="J49" t="n">
        <v>0</v>
      </c>
      <c r="K49" t="n">
        <v>0</v>
      </c>
      <c r="L49" t="n">
        <v>0</v>
      </c>
      <c r="M49" t="n">
        <v>0</v>
      </c>
      <c r="N49" t="n">
        <v>0</v>
      </c>
      <c r="O49" t="n">
        <v>0</v>
      </c>
      <c r="P49" t="n">
        <v>0</v>
      </c>
      <c r="Q49" t="n">
        <v>0</v>
      </c>
      <c r="R49" t="n">
        <v>0</v>
      </c>
      <c r="S49" t="n">
        <v>0</v>
      </c>
      <c r="T49" t="n">
        <v>0</v>
      </c>
      <c r="U49" t="n">
        <v>0</v>
      </c>
      <c r="V49" s="2" t="inlineStr"/>
    </row>
    <row r="50" ht="15" customHeight="1">
      <c r="A50" t="inlineStr">
        <is>
          <t>A 19620-2022</t>
        </is>
      </c>
      <c r="B50" t="inlineStr">
        <is>
          <t>avverkningsanmälan</t>
        </is>
      </c>
      <c r="C50" t="inlineStr">
        <is>
          <t>Avverkning för annat ändamål</t>
        </is>
      </c>
      <c r="D50" s="1" t="n">
        <v>44694</v>
      </c>
      <c r="E50" s="1" t="n">
        <v>46323</v>
      </c>
      <c r="F50" t="inlineStr">
        <is>
          <t>NORRBOTTENS LÄN</t>
        </is>
      </c>
      <c r="G50" t="inlineStr">
        <is>
          <t>ARJEPLOG</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72279-2021</t>
        </is>
      </c>
      <c r="B51" t="inlineStr">
        <is>
          <t>avverkningsanmälan</t>
        </is>
      </c>
      <c r="C51" t="inlineStr">
        <is>
          <t>Avverkning för annat ändamål</t>
        </is>
      </c>
      <c r="D51" s="1" t="n">
        <v>44543</v>
      </c>
      <c r="E51" s="1" t="n">
        <v>46323</v>
      </c>
      <c r="F51" t="inlineStr">
        <is>
          <t>NORRBOTTENS LÄN</t>
        </is>
      </c>
      <c r="G51" t="inlineStr">
        <is>
          <t>ARJEPLOG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56785-2024</t>
        </is>
      </c>
      <c r="B52" t="inlineStr">
        <is>
          <t>avverkningsanmälan</t>
        </is>
      </c>
      <c r="C52" t="inlineStr">
        <is>
          <t>Föryngringsavverkning</t>
        </is>
      </c>
      <c r="D52" s="1" t="n">
        <v>45625</v>
      </c>
      <c r="E52" s="1" t="n">
        <v>46323</v>
      </c>
      <c r="F52" t="inlineStr">
        <is>
          <t>NORRBOTTENS LÄN</t>
        </is>
      </c>
      <c r="G52" t="inlineStr">
        <is>
          <t>ARJEPLOG</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55124-2024</t>
        </is>
      </c>
      <c r="B53" t="inlineStr">
        <is>
          <t>avverkningsanmälan</t>
        </is>
      </c>
      <c r="C53" t="inlineStr">
        <is>
          <t>Föryngringsavverkning</t>
        </is>
      </c>
      <c r="D53" s="1" t="n">
        <v>45618</v>
      </c>
      <c r="E53" s="1" t="n">
        <v>46323</v>
      </c>
      <c r="F53" t="inlineStr">
        <is>
          <t>NORRBOTTENS LÄN</t>
        </is>
      </c>
      <c r="G53" t="inlineStr">
        <is>
          <t>ARJEPLOG</t>
        </is>
      </c>
      <c r="I53" t="n">
        <v>18.3</v>
      </c>
      <c r="J53" t="n">
        <v>0</v>
      </c>
      <c r="K53" t="n">
        <v>0</v>
      </c>
      <c r="L53" t="n">
        <v>0</v>
      </c>
      <c r="M53" t="n">
        <v>0</v>
      </c>
      <c r="N53" t="n">
        <v>0</v>
      </c>
      <c r="O53" t="n">
        <v>0</v>
      </c>
      <c r="P53" t="n">
        <v>0</v>
      </c>
      <c r="Q53" t="n">
        <v>0</v>
      </c>
      <c r="R53" t="n">
        <v>0</v>
      </c>
      <c r="S53" t="n">
        <v>0</v>
      </c>
      <c r="T53" t="n">
        <v>0</v>
      </c>
      <c r="U53" t="n">
        <v>0</v>
      </c>
      <c r="V53" s="2" t="inlineStr"/>
    </row>
    <row r="54" ht="15" customHeight="1">
      <c r="A54" t="inlineStr">
        <is>
          <t>A 42274-2022</t>
        </is>
      </c>
      <c r="B54" t="inlineStr">
        <is>
          <t>avverkningsanmälan</t>
        </is>
      </c>
      <c r="C54" t="inlineStr">
        <is>
          <t>Föryngringsavverkning</t>
        </is>
      </c>
      <c r="D54" s="1" t="n">
        <v>44830</v>
      </c>
      <c r="E54" s="1" t="n">
        <v>46323</v>
      </c>
      <c r="F54" t="inlineStr">
        <is>
          <t>NORRBOTTENS LÄN</t>
        </is>
      </c>
      <c r="G54" t="inlineStr">
        <is>
          <t>ARJEPLOG</t>
        </is>
      </c>
      <c r="H54" t="inlineStr">
        <is>
          <t>SCA</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28354-2022</t>
        </is>
      </c>
      <c r="B55" t="inlineStr">
        <is>
          <t>avverkningsanmälan</t>
        </is>
      </c>
      <c r="C55" t="inlineStr">
        <is>
          <t>Avverkning för annat ändamål</t>
        </is>
      </c>
      <c r="D55" s="1" t="n">
        <v>44735</v>
      </c>
      <c r="E55" s="1" t="n">
        <v>46323</v>
      </c>
      <c r="F55" t="inlineStr">
        <is>
          <t>NORRBOTTENS LÄN</t>
        </is>
      </c>
      <c r="G55" t="inlineStr">
        <is>
          <t>ARJEPLOG</t>
        </is>
      </c>
      <c r="H55" t="inlineStr">
        <is>
          <t>Övriga statliga verk och myndigheter</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61729-2024</t>
        </is>
      </c>
      <c r="B56" t="inlineStr">
        <is>
          <t>avverkningsanmälan</t>
        </is>
      </c>
      <c r="C56" t="inlineStr">
        <is>
          <t>Avverkning för annat ändamål</t>
        </is>
      </c>
      <c r="D56" s="1" t="n">
        <v>45649</v>
      </c>
      <c r="E56" s="1" t="n">
        <v>46323</v>
      </c>
      <c r="F56" t="inlineStr">
        <is>
          <t>NORRBOTTENS LÄN</t>
        </is>
      </c>
      <c r="G56" t="inlineStr">
        <is>
          <t>ARJEPLOG</t>
        </is>
      </c>
      <c r="H56" t="inlineStr">
        <is>
          <t>Övriga statliga verk och myndigheter</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35627-2025</t>
        </is>
      </c>
      <c r="B57" t="inlineStr">
        <is>
          <t>avverkningsanmälan</t>
        </is>
      </c>
      <c r="C57" t="inlineStr">
        <is>
          <t>Föryngringsavverkning</t>
        </is>
      </c>
      <c r="D57" s="1" t="n">
        <v>45859</v>
      </c>
      <c r="E57" s="1" t="n">
        <v>46323</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45072-2023</t>
        </is>
      </c>
      <c r="B58" t="inlineStr">
        <is>
          <t>avverkningsanmälan</t>
        </is>
      </c>
      <c r="C58" t="inlineStr">
        <is>
          <t>Föryngringsavverkning</t>
        </is>
      </c>
      <c r="D58" s="1" t="n">
        <v>45187</v>
      </c>
      <c r="E58" s="1" t="n">
        <v>46323</v>
      </c>
      <c r="F58" t="inlineStr">
        <is>
          <t>NORRBOTTENS LÄN</t>
        </is>
      </c>
      <c r="G58" t="inlineStr">
        <is>
          <t>ARJEPLOG</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26103-2024</t>
        </is>
      </c>
      <c r="B59" t="inlineStr">
        <is>
          <t>avverkningsanmälan</t>
        </is>
      </c>
      <c r="C59" t="inlineStr">
        <is>
          <t>Föryngringsavverkning</t>
        </is>
      </c>
      <c r="D59" s="1" t="n">
        <v>45467</v>
      </c>
      <c r="E59" s="1" t="n">
        <v>46323</v>
      </c>
      <c r="F59" t="inlineStr">
        <is>
          <t>NORRBOTTENS LÄN</t>
        </is>
      </c>
      <c r="G59" t="inlineStr">
        <is>
          <t>ARJEPLOG</t>
        </is>
      </c>
      <c r="I59" t="n">
        <v>17.2</v>
      </c>
      <c r="J59" t="n">
        <v>0</v>
      </c>
      <c r="K59" t="n">
        <v>0</v>
      </c>
      <c r="L59" t="n">
        <v>0</v>
      </c>
      <c r="M59" t="n">
        <v>0</v>
      </c>
      <c r="N59" t="n">
        <v>0</v>
      </c>
      <c r="O59" t="n">
        <v>0</v>
      </c>
      <c r="P59" t="n">
        <v>0</v>
      </c>
      <c r="Q59" t="n">
        <v>0</v>
      </c>
      <c r="R59" t="n">
        <v>0</v>
      </c>
      <c r="S59" t="n">
        <v>0</v>
      </c>
      <c r="T59" t="n">
        <v>0</v>
      </c>
      <c r="U59" t="n">
        <v>0</v>
      </c>
      <c r="V59" s="2" t="inlineStr"/>
    </row>
    <row r="60" ht="15" customHeight="1">
      <c r="A60" t="inlineStr">
        <is>
          <t>A 42331-2025</t>
        </is>
      </c>
      <c r="B60" t="inlineStr">
        <is>
          <t>avverkningsanmälan</t>
        </is>
      </c>
      <c r="C60" t="inlineStr">
        <is>
          <t>Föryngringsavverkning</t>
        </is>
      </c>
      <c r="D60" s="1" t="n">
        <v>45903</v>
      </c>
      <c r="E60" s="1" t="n">
        <v>46323</v>
      </c>
      <c r="F60" t="inlineStr">
        <is>
          <t>NORRBOTTENS LÄN</t>
        </is>
      </c>
      <c r="G60" t="inlineStr">
        <is>
          <t>ARJEPLOG</t>
        </is>
      </c>
      <c r="I60" t="n">
        <v>10</v>
      </c>
      <c r="J60" t="n">
        <v>0</v>
      </c>
      <c r="K60" t="n">
        <v>0</v>
      </c>
      <c r="L60" t="n">
        <v>0</v>
      </c>
      <c r="M60" t="n">
        <v>0</v>
      </c>
      <c r="N60" t="n">
        <v>0</v>
      </c>
      <c r="O60" t="n">
        <v>0</v>
      </c>
      <c r="P60" t="n">
        <v>0</v>
      </c>
      <c r="Q60" t="n">
        <v>0</v>
      </c>
      <c r="R60" t="n">
        <v>0</v>
      </c>
      <c r="S60" t="n">
        <v>0</v>
      </c>
      <c r="T60" t="n">
        <v>0</v>
      </c>
      <c r="U60" t="n">
        <v>0</v>
      </c>
      <c r="V60" s="2" t="inlineStr"/>
    </row>
    <row r="61" ht="15" customHeight="1">
      <c r="A61" t="inlineStr">
        <is>
          <t>A 42597-2025</t>
        </is>
      </c>
      <c r="B61" t="inlineStr">
        <is>
          <t>avverkningsanmälan</t>
        </is>
      </c>
      <c r="C61" t="inlineStr">
        <is>
          <t>Föryngringsavverkning</t>
        </is>
      </c>
      <c r="D61" s="1" t="n">
        <v>45905</v>
      </c>
      <c r="E61" s="1" t="n">
        <v>46323</v>
      </c>
      <c r="F61" t="inlineStr">
        <is>
          <t>NORRBOTTENS LÄN</t>
        </is>
      </c>
      <c r="G61" t="inlineStr">
        <is>
          <t>ARJEPLOG</t>
        </is>
      </c>
      <c r="I61" t="n">
        <v>9.199999999999999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52581-2022</t>
        </is>
      </c>
      <c r="B62" t="inlineStr">
        <is>
          <t>avverkningsanmälan</t>
        </is>
      </c>
      <c r="C62" t="inlineStr">
        <is>
          <t>Föryngringsavverkning</t>
        </is>
      </c>
      <c r="D62" s="1" t="n">
        <v>44874</v>
      </c>
      <c r="E62" s="1" t="n">
        <v>46323</v>
      </c>
      <c r="F62" t="inlineStr">
        <is>
          <t>NORRBOTTENS LÄN</t>
        </is>
      </c>
      <c r="G62" t="inlineStr">
        <is>
          <t>ARJEPLOG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50255-2023</t>
        </is>
      </c>
      <c r="B63" t="inlineStr">
        <is>
          <t>avverkningsanmälan</t>
        </is>
      </c>
      <c r="C63" t="inlineStr">
        <is>
          <t>Föryngringsavverkning</t>
        </is>
      </c>
      <c r="D63" s="1" t="n">
        <v>45216</v>
      </c>
      <c r="E63" s="1" t="n">
        <v>46323</v>
      </c>
      <c r="F63" t="inlineStr">
        <is>
          <t>NORRBOTTENS LÄN</t>
        </is>
      </c>
      <c r="G63" t="inlineStr">
        <is>
          <t>ARJEPLOG</t>
        </is>
      </c>
      <c r="I63" t="n">
        <v>20</v>
      </c>
      <c r="J63" t="n">
        <v>0</v>
      </c>
      <c r="K63" t="n">
        <v>0</v>
      </c>
      <c r="L63" t="n">
        <v>0</v>
      </c>
      <c r="M63" t="n">
        <v>0</v>
      </c>
      <c r="N63" t="n">
        <v>0</v>
      </c>
      <c r="O63" t="n">
        <v>0</v>
      </c>
      <c r="P63" t="n">
        <v>0</v>
      </c>
      <c r="Q63" t="n">
        <v>0</v>
      </c>
      <c r="R63" t="n">
        <v>0</v>
      </c>
      <c r="S63" t="n">
        <v>0</v>
      </c>
      <c r="T63" t="n">
        <v>0</v>
      </c>
      <c r="U63" t="n">
        <v>0</v>
      </c>
      <c r="V63" s="2" t="inlineStr"/>
    </row>
    <row r="64" ht="15" customHeight="1">
      <c r="A64" t="inlineStr">
        <is>
          <t>A 35194-2024</t>
        </is>
      </c>
      <c r="B64" t="inlineStr">
        <is>
          <t>avverkningsanmälan</t>
        </is>
      </c>
      <c r="C64" t="inlineStr">
        <is>
          <t>Föryngringsavverkning</t>
        </is>
      </c>
      <c r="D64" s="1" t="n">
        <v>45530</v>
      </c>
      <c r="E64" s="1" t="n">
        <v>46323</v>
      </c>
      <c r="F64" t="inlineStr">
        <is>
          <t>NORRBOTTENS LÄN</t>
        </is>
      </c>
      <c r="G64" t="inlineStr">
        <is>
          <t>ARJEPLOG</t>
        </is>
      </c>
      <c r="I64" t="n">
        <v>20.1</v>
      </c>
      <c r="J64" t="n">
        <v>0</v>
      </c>
      <c r="K64" t="n">
        <v>0</v>
      </c>
      <c r="L64" t="n">
        <v>0</v>
      </c>
      <c r="M64" t="n">
        <v>0</v>
      </c>
      <c r="N64" t="n">
        <v>0</v>
      </c>
      <c r="O64" t="n">
        <v>0</v>
      </c>
      <c r="P64" t="n">
        <v>0</v>
      </c>
      <c r="Q64" t="n">
        <v>0</v>
      </c>
      <c r="R64" t="n">
        <v>0</v>
      </c>
      <c r="S64" t="n">
        <v>0</v>
      </c>
      <c r="T64" t="n">
        <v>0</v>
      </c>
      <c r="U64" t="n">
        <v>0</v>
      </c>
      <c r="V64" s="2" t="inlineStr"/>
    </row>
    <row r="65" ht="15" customHeight="1">
      <c r="A65" t="inlineStr">
        <is>
          <t>A 48987-2025</t>
        </is>
      </c>
      <c r="B65" t="inlineStr">
        <is>
          <t>avverkningsanmälan</t>
        </is>
      </c>
      <c r="C65" t="inlineStr">
        <is>
          <t>Avverkning för annat ändamål</t>
        </is>
      </c>
      <c r="D65" s="1" t="n">
        <v>45937</v>
      </c>
      <c r="E65" s="1" t="n">
        <v>46323</v>
      </c>
      <c r="F65" t="inlineStr">
        <is>
          <t>NORRBOTTENS LÄN</t>
        </is>
      </c>
      <c r="G65" t="inlineStr">
        <is>
          <t>ARJEPLOG</t>
        </is>
      </c>
      <c r="H65" t="inlineStr">
        <is>
          <t>Sveaskog</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526-2025</t>
        </is>
      </c>
      <c r="B66" t="inlineStr">
        <is>
          <t>avverkningsanmälan</t>
        </is>
      </c>
      <c r="C66" t="inlineStr">
        <is>
          <t>Avverkning för annat ändamål</t>
        </is>
      </c>
      <c r="D66" s="1" t="n">
        <v>45664</v>
      </c>
      <c r="E66" s="1" t="n">
        <v>46323</v>
      </c>
      <c r="F66" t="inlineStr">
        <is>
          <t>NORRBOTTENS LÄN</t>
        </is>
      </c>
      <c r="G66" t="inlineStr">
        <is>
          <t>ARJEPLOG</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64832-2023</t>
        </is>
      </c>
      <c r="B67" t="inlineStr">
        <is>
          <t>avverkningsanmälan</t>
        </is>
      </c>
      <c r="C67" t="inlineStr">
        <is>
          <t>Föryngringsavverkning</t>
        </is>
      </c>
      <c r="D67" s="1" t="n">
        <v>45281</v>
      </c>
      <c r="E67" s="1" t="n">
        <v>46323</v>
      </c>
      <c r="F67" t="inlineStr">
        <is>
          <t>NORRBOTTENS LÄN</t>
        </is>
      </c>
      <c r="G67" t="inlineStr">
        <is>
          <t>ARJEPLOG</t>
        </is>
      </c>
      <c r="I67" t="n">
        <v>43.6</v>
      </c>
      <c r="J67" t="n">
        <v>0</v>
      </c>
      <c r="K67" t="n">
        <v>0</v>
      </c>
      <c r="L67" t="n">
        <v>0</v>
      </c>
      <c r="M67" t="n">
        <v>0</v>
      </c>
      <c r="N67" t="n">
        <v>0</v>
      </c>
      <c r="O67" t="n">
        <v>0</v>
      </c>
      <c r="P67" t="n">
        <v>0</v>
      </c>
      <c r="Q67" t="n">
        <v>0</v>
      </c>
      <c r="R67" t="n">
        <v>0</v>
      </c>
      <c r="S67" t="n">
        <v>0</v>
      </c>
      <c r="T67" t="n">
        <v>0</v>
      </c>
      <c r="U67" t="n">
        <v>0</v>
      </c>
      <c r="V67" s="2" t="inlineStr"/>
    </row>
    <row r="68" ht="15" customHeight="1">
      <c r="A68" t="inlineStr">
        <is>
          <t>A 36623-2023</t>
        </is>
      </c>
      <c r="B68" t="inlineStr">
        <is>
          <t>avverkningsanmälan</t>
        </is>
      </c>
      <c r="C68" t="inlineStr">
        <is>
          <t>Föryngringsavverkning</t>
        </is>
      </c>
      <c r="D68" s="1" t="n">
        <v>45153</v>
      </c>
      <c r="E68" s="1" t="n">
        <v>46323</v>
      </c>
      <c r="F68" t="inlineStr">
        <is>
          <t>NORRBOTTENS LÄN</t>
        </is>
      </c>
      <c r="G68" t="inlineStr">
        <is>
          <t>ARJEPLOG</t>
        </is>
      </c>
      <c r="H68" t="inlineStr">
        <is>
          <t>Sveaskog</t>
        </is>
      </c>
      <c r="I68" t="n">
        <v>16.9</v>
      </c>
      <c r="J68" t="n">
        <v>0</v>
      </c>
      <c r="K68" t="n">
        <v>0</v>
      </c>
      <c r="L68" t="n">
        <v>0</v>
      </c>
      <c r="M68" t="n">
        <v>0</v>
      </c>
      <c r="N68" t="n">
        <v>0</v>
      </c>
      <c r="O68" t="n">
        <v>0</v>
      </c>
      <c r="P68" t="n">
        <v>0</v>
      </c>
      <c r="Q68" t="n">
        <v>0</v>
      </c>
      <c r="R68" t="n">
        <v>0</v>
      </c>
      <c r="S68" t="n">
        <v>0</v>
      </c>
      <c r="T68" t="n">
        <v>0</v>
      </c>
      <c r="U68" t="n">
        <v>0</v>
      </c>
      <c r="V68" s="2" t="inlineStr"/>
    </row>
    <row r="69" ht="15" customHeight="1">
      <c r="A69" t="inlineStr">
        <is>
          <t>A 3006-2024</t>
        </is>
      </c>
      <c r="B69" t="inlineStr">
        <is>
          <t>avverkningsanmälan</t>
        </is>
      </c>
      <c r="C69" t="inlineStr">
        <is>
          <t>Föryngringsavverkning</t>
        </is>
      </c>
      <c r="D69" s="1" t="n">
        <v>45315</v>
      </c>
      <c r="E69" s="1" t="n">
        <v>46323</v>
      </c>
      <c r="F69" t="inlineStr">
        <is>
          <t>NORRBOTTENS LÄN</t>
        </is>
      </c>
      <c r="G69" t="inlineStr">
        <is>
          <t>ARJEPLOG</t>
        </is>
      </c>
      <c r="I69" t="n">
        <v>9.1</v>
      </c>
      <c r="J69" t="n">
        <v>0</v>
      </c>
      <c r="K69" t="n">
        <v>0</v>
      </c>
      <c r="L69" t="n">
        <v>0</v>
      </c>
      <c r="M69" t="n">
        <v>0</v>
      </c>
      <c r="N69" t="n">
        <v>0</v>
      </c>
      <c r="O69" t="n">
        <v>0</v>
      </c>
      <c r="P69" t="n">
        <v>0</v>
      </c>
      <c r="Q69" t="n">
        <v>0</v>
      </c>
      <c r="R69" t="n">
        <v>0</v>
      </c>
      <c r="S69" t="n">
        <v>0</v>
      </c>
      <c r="T69" t="n">
        <v>0</v>
      </c>
      <c r="U69" t="n">
        <v>0</v>
      </c>
      <c r="V69" s="2" t="inlineStr"/>
    </row>
    <row r="70" ht="15" customHeight="1">
      <c r="A70" t="inlineStr">
        <is>
          <t>A 25440-2024</t>
        </is>
      </c>
      <c r="B70" t="inlineStr">
        <is>
          <t>avverkningsanmälan</t>
        </is>
      </c>
      <c r="C70" t="inlineStr">
        <is>
          <t>Föryngringsavverkning</t>
        </is>
      </c>
      <c r="D70" s="1" t="n">
        <v>45463</v>
      </c>
      <c r="E70" s="1" t="n">
        <v>46323</v>
      </c>
      <c r="F70" t="inlineStr">
        <is>
          <t>NORRBOTTENS LÄN</t>
        </is>
      </c>
      <c r="G70" t="inlineStr">
        <is>
          <t>ARJEPLOG</t>
        </is>
      </c>
      <c r="H70" t="inlineStr">
        <is>
          <t>Allmännings- och besparingsskogar</t>
        </is>
      </c>
      <c r="I70" t="n">
        <v>30.7</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46323</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34426-2025</t>
        </is>
      </c>
      <c r="B72" t="inlineStr">
        <is>
          <t>avverkningsanmälan</t>
        </is>
      </c>
      <c r="C72" t="inlineStr">
        <is>
          <t>Föryngringsavverkning</t>
        </is>
      </c>
      <c r="D72" s="1" t="n">
        <v>45845</v>
      </c>
      <c r="E72" s="1" t="n">
        <v>46323</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17536-2023</t>
        </is>
      </c>
      <c r="B73" t="inlineStr">
        <is>
          <t>avverkningsanmälan</t>
        </is>
      </c>
      <c r="C73" t="inlineStr">
        <is>
          <t>Föryngringsavverkning</t>
        </is>
      </c>
      <c r="D73" s="1" t="n">
        <v>45034</v>
      </c>
      <c r="E73" s="1" t="n">
        <v>46323</v>
      </c>
      <c r="F73" t="inlineStr">
        <is>
          <t>NORRBOTTENS LÄN</t>
        </is>
      </c>
      <c r="G73" t="inlineStr">
        <is>
          <t>ARJEPLOG</t>
        </is>
      </c>
      <c r="H73" t="inlineStr">
        <is>
          <t>Övriga statliga verk och myndigheter</t>
        </is>
      </c>
      <c r="I73" t="n">
        <v>20.3</v>
      </c>
      <c r="J73" t="n">
        <v>0</v>
      </c>
      <c r="K73" t="n">
        <v>0</v>
      </c>
      <c r="L73" t="n">
        <v>0</v>
      </c>
      <c r="M73" t="n">
        <v>0</v>
      </c>
      <c r="N73" t="n">
        <v>0</v>
      </c>
      <c r="O73" t="n">
        <v>0</v>
      </c>
      <c r="P73" t="n">
        <v>0</v>
      </c>
      <c r="Q73" t="n">
        <v>0</v>
      </c>
      <c r="R73" t="n">
        <v>0</v>
      </c>
      <c r="S73" t="n">
        <v>0</v>
      </c>
      <c r="T73" t="n">
        <v>0</v>
      </c>
      <c r="U73" t="n">
        <v>0</v>
      </c>
      <c r="V73" s="2" t="inlineStr"/>
    </row>
    <row r="74" ht="15" customHeight="1">
      <c r="A74" t="inlineStr">
        <is>
          <t>A 59887-2025</t>
        </is>
      </c>
      <c r="B74" t="inlineStr">
        <is>
          <t>avverkningsanmälan</t>
        </is>
      </c>
      <c r="C74" t="inlineStr">
        <is>
          <t>Föryngringsavverkning</t>
        </is>
      </c>
      <c r="D74" s="1" t="n">
        <v>45993</v>
      </c>
      <c r="E74" s="1" t="n">
        <v>46323</v>
      </c>
      <c r="F74" t="inlineStr">
        <is>
          <t>NORRBOTTENS LÄN</t>
        </is>
      </c>
      <c r="G74" t="inlineStr">
        <is>
          <t>ARJEPLOG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56754-2024</t>
        </is>
      </c>
      <c r="B75" t="inlineStr">
        <is>
          <t>avverkningsanmälan</t>
        </is>
      </c>
      <c r="C75" t="inlineStr">
        <is>
          <t>Föryngringsavverkning</t>
        </is>
      </c>
      <c r="D75" s="1" t="n">
        <v>45625</v>
      </c>
      <c r="E75" s="1" t="n">
        <v>46323</v>
      </c>
      <c r="F75" t="inlineStr">
        <is>
          <t>NORRBOTTENS LÄN</t>
        </is>
      </c>
      <c r="G75" t="inlineStr">
        <is>
          <t>ARJEPLOG</t>
        </is>
      </c>
      <c r="I75" t="n">
        <v>11.5</v>
      </c>
      <c r="J75" t="n">
        <v>0</v>
      </c>
      <c r="K75" t="n">
        <v>0</v>
      </c>
      <c r="L75" t="n">
        <v>0</v>
      </c>
      <c r="M75" t="n">
        <v>0</v>
      </c>
      <c r="N75" t="n">
        <v>0</v>
      </c>
      <c r="O75" t="n">
        <v>0</v>
      </c>
      <c r="P75" t="n">
        <v>0</v>
      </c>
      <c r="Q75" t="n">
        <v>0</v>
      </c>
      <c r="R75" t="n">
        <v>0</v>
      </c>
      <c r="S75" t="n">
        <v>0</v>
      </c>
      <c r="T75" t="n">
        <v>0</v>
      </c>
      <c r="U75" t="n">
        <v>0</v>
      </c>
      <c r="V75" s="2" t="inlineStr"/>
    </row>
    <row r="76" ht="15" customHeight="1">
      <c r="A76" t="inlineStr">
        <is>
          <t>A 56800-2024</t>
        </is>
      </c>
      <c r="B76" t="inlineStr">
        <is>
          <t>avverkningsanmälan</t>
        </is>
      </c>
      <c r="C76" t="inlineStr">
        <is>
          <t>Föryngringsavverkning</t>
        </is>
      </c>
      <c r="D76" s="1" t="n">
        <v>45625</v>
      </c>
      <c r="E76" s="1" t="n">
        <v>46323</v>
      </c>
      <c r="F76" t="inlineStr">
        <is>
          <t>NORRBOTTENS LÄN</t>
        </is>
      </c>
      <c r="G76" t="inlineStr">
        <is>
          <t>ARJEPLOG</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60767-2025</t>
        </is>
      </c>
      <c r="B77" t="inlineStr">
        <is>
          <t>avverkningsanmälan</t>
        </is>
      </c>
      <c r="C77" t="inlineStr">
        <is>
          <t>Föryngringsavverkning</t>
        </is>
      </c>
      <c r="D77" s="1" t="n">
        <v>45999</v>
      </c>
      <c r="E77" s="1" t="n">
        <v>46323</v>
      </c>
      <c r="F77" t="inlineStr">
        <is>
          <t>NORRBOTTENS LÄN</t>
        </is>
      </c>
      <c r="G77" t="inlineStr">
        <is>
          <t>ARJEPLOG</t>
        </is>
      </c>
      <c r="I77" t="n">
        <v>11.3</v>
      </c>
      <c r="J77" t="n">
        <v>0</v>
      </c>
      <c r="K77" t="n">
        <v>0</v>
      </c>
      <c r="L77" t="n">
        <v>0</v>
      </c>
      <c r="M77" t="n">
        <v>0</v>
      </c>
      <c r="N77" t="n">
        <v>0</v>
      </c>
      <c r="O77" t="n">
        <v>0</v>
      </c>
      <c r="P77" t="n">
        <v>0</v>
      </c>
      <c r="Q77" t="n">
        <v>0</v>
      </c>
      <c r="R77" t="n">
        <v>0</v>
      </c>
      <c r="S77" t="n">
        <v>0</v>
      </c>
      <c r="T77" t="n">
        <v>0</v>
      </c>
      <c r="U77" t="n">
        <v>0</v>
      </c>
      <c r="V77" s="2" t="inlineStr"/>
    </row>
    <row r="78" ht="15" customHeight="1">
      <c r="A78" t="inlineStr">
        <is>
          <t>A 60766-2025</t>
        </is>
      </c>
      <c r="B78" t="inlineStr">
        <is>
          <t>avverkningsanmälan</t>
        </is>
      </c>
      <c r="C78" t="inlineStr">
        <is>
          <t>Föryngringsavverkning</t>
        </is>
      </c>
      <c r="D78" s="1" t="n">
        <v>45999</v>
      </c>
      <c r="E78" s="1" t="n">
        <v>46323</v>
      </c>
      <c r="F78" t="inlineStr">
        <is>
          <t>NORRBOTTENS LÄN</t>
        </is>
      </c>
      <c r="G78" t="inlineStr">
        <is>
          <t>ARJEPLOG</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28799-2026</t>
        </is>
      </c>
      <c r="B79" t="inlineStr">
        <is>
          <t>avverkningsanmälan</t>
        </is>
      </c>
      <c r="C79" t="inlineStr">
        <is>
          <t>Föryngringsavverkning</t>
        </is>
      </c>
      <c r="D79" s="1" t="n">
        <v>46198</v>
      </c>
      <c r="E79" s="1" t="n">
        <v>46323</v>
      </c>
      <c r="F79" t="inlineStr">
        <is>
          <t>NORRBOTTENS LÄN</t>
        </is>
      </c>
      <c r="G79" t="inlineStr">
        <is>
          <t>ARJEPLOG</t>
        </is>
      </c>
      <c r="H79" t="inlineStr">
        <is>
          <t>Allmännings- och besparingsskogar</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56782-2024</t>
        </is>
      </c>
      <c r="B80" t="inlineStr">
        <is>
          <t>avverkningsanmälan</t>
        </is>
      </c>
      <c r="C80" t="inlineStr">
        <is>
          <t>Föryngringsavverkning</t>
        </is>
      </c>
      <c r="D80" s="1" t="n">
        <v>45625</v>
      </c>
      <c r="E80" s="1" t="n">
        <v>46323</v>
      </c>
      <c r="F80" t="inlineStr">
        <is>
          <t>NORRBOTTENS LÄN</t>
        </is>
      </c>
      <c r="G80" t="inlineStr">
        <is>
          <t>ARJEPLOG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56794-2024</t>
        </is>
      </c>
      <c r="B81" t="inlineStr">
        <is>
          <t>avverkningsanmälan</t>
        </is>
      </c>
      <c r="C81" t="inlineStr">
        <is>
          <t>Föryngringsavverkning</t>
        </is>
      </c>
      <c r="D81" s="1" t="n">
        <v>45625</v>
      </c>
      <c r="E81" s="1" t="n">
        <v>46323</v>
      </c>
      <c r="F81" t="inlineStr">
        <is>
          <t>NORRBOTTENS LÄN</t>
        </is>
      </c>
      <c r="G81" t="inlineStr">
        <is>
          <t>ARJEPLOG</t>
        </is>
      </c>
      <c r="I81" t="n">
        <v>7.5</v>
      </c>
      <c r="J81" t="n">
        <v>0</v>
      </c>
      <c r="K81" t="n">
        <v>0</v>
      </c>
      <c r="L81" t="n">
        <v>0</v>
      </c>
      <c r="M81" t="n">
        <v>0</v>
      </c>
      <c r="N81" t="n">
        <v>0</v>
      </c>
      <c r="O81" t="n">
        <v>0</v>
      </c>
      <c r="P81" t="n">
        <v>0</v>
      </c>
      <c r="Q81" t="n">
        <v>0</v>
      </c>
      <c r="R81" t="n">
        <v>0</v>
      </c>
      <c r="S81" t="n">
        <v>0</v>
      </c>
      <c r="T81" t="n">
        <v>0</v>
      </c>
      <c r="U81" t="n">
        <v>0</v>
      </c>
      <c r="V81" s="2" t="inlineStr"/>
    </row>
    <row r="82" ht="15" customHeight="1">
      <c r="A82" t="inlineStr">
        <is>
          <t>A 28532-2026</t>
        </is>
      </c>
      <c r="B82" t="inlineStr">
        <is>
          <t>avverkningsanmälan</t>
        </is>
      </c>
      <c r="C82" t="inlineStr">
        <is>
          <t>Avverkning för annat ändamål</t>
        </is>
      </c>
      <c r="D82" s="1" t="n">
        <v>46197</v>
      </c>
      <c r="E82" s="1" t="n">
        <v>46323</v>
      </c>
      <c r="F82" t="inlineStr">
        <is>
          <t>NORRBOTTENS LÄN</t>
        </is>
      </c>
      <c r="G82" t="inlineStr">
        <is>
          <t>ARJEPLOG</t>
        </is>
      </c>
      <c r="H82" t="inlineStr">
        <is>
          <t>Allmännings- och besparingsskogar</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12447-2025</t>
        </is>
      </c>
      <c r="B83" t="inlineStr">
        <is>
          <t>avverkningsanmälan</t>
        </is>
      </c>
      <c r="C83" t="inlineStr">
        <is>
          <t>Föryngringsavverkning</t>
        </is>
      </c>
      <c r="D83" s="1" t="n">
        <v>45730</v>
      </c>
      <c r="E83" s="1" t="n">
        <v>46323</v>
      </c>
      <c r="F83" t="inlineStr">
        <is>
          <t>NORRBOTTENS LÄN</t>
        </is>
      </c>
      <c r="G83" t="inlineStr">
        <is>
          <t>ARJEPLOG</t>
        </is>
      </c>
      <c r="I83" t="n">
        <v>7.9</v>
      </c>
      <c r="J83" t="n">
        <v>0</v>
      </c>
      <c r="K83" t="n">
        <v>0</v>
      </c>
      <c r="L83" t="n">
        <v>0</v>
      </c>
      <c r="M83" t="n">
        <v>0</v>
      </c>
      <c r="N83" t="n">
        <v>0</v>
      </c>
      <c r="O83" t="n">
        <v>0</v>
      </c>
      <c r="P83" t="n">
        <v>0</v>
      </c>
      <c r="Q83" t="n">
        <v>0</v>
      </c>
      <c r="R83" t="n">
        <v>0</v>
      </c>
      <c r="S83" t="n">
        <v>0</v>
      </c>
      <c r="T83" t="n">
        <v>0</v>
      </c>
      <c r="U83" t="n">
        <v>0</v>
      </c>
      <c r="V83" s="2" t="inlineStr"/>
    </row>
    <row r="84" ht="15" customHeight="1">
      <c r="A84" t="inlineStr">
        <is>
          <t>A 12409-2025</t>
        </is>
      </c>
      <c r="B84" t="inlineStr">
        <is>
          <t>avverkningsanmälan</t>
        </is>
      </c>
      <c r="C84" t="inlineStr">
        <is>
          <t>Föryngringsavverkning</t>
        </is>
      </c>
      <c r="D84" s="1" t="n">
        <v>45730</v>
      </c>
      <c r="E84" s="1" t="n">
        <v>46323</v>
      </c>
      <c r="F84" t="inlineStr">
        <is>
          <t>NORRBOTTENS LÄN</t>
        </is>
      </c>
      <c r="G84" t="inlineStr">
        <is>
          <t>ARJEPLOG</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25239-2023</t>
        </is>
      </c>
      <c r="B85" t="inlineStr">
        <is>
          <t>avverkningsanmälan</t>
        </is>
      </c>
      <c r="C85" t="inlineStr">
        <is>
          <t>Föryngringsavverkning</t>
        </is>
      </c>
      <c r="D85" s="1" t="n">
        <v>45079</v>
      </c>
      <c r="E85" s="1" t="n">
        <v>46323</v>
      </c>
      <c r="F85" t="inlineStr">
        <is>
          <t>NORRBOTTENS LÄN</t>
        </is>
      </c>
      <c r="G85" t="inlineStr">
        <is>
          <t>ARJEPLOG</t>
        </is>
      </c>
      <c r="H85" t="inlineStr">
        <is>
          <t>Övriga statliga verk och myndigheter</t>
        </is>
      </c>
      <c r="I85" t="n">
        <v>7</v>
      </c>
      <c r="J85" t="n">
        <v>0</v>
      </c>
      <c r="K85" t="n">
        <v>0</v>
      </c>
      <c r="L85" t="n">
        <v>0</v>
      </c>
      <c r="M85" t="n">
        <v>0</v>
      </c>
      <c r="N85" t="n">
        <v>0</v>
      </c>
      <c r="O85" t="n">
        <v>0</v>
      </c>
      <c r="P85" t="n">
        <v>0</v>
      </c>
      <c r="Q85" t="n">
        <v>0</v>
      </c>
      <c r="R85" t="n">
        <v>0</v>
      </c>
      <c r="S85" t="n">
        <v>0</v>
      </c>
      <c r="T85" t="n">
        <v>0</v>
      </c>
      <c r="U85" t="n">
        <v>0</v>
      </c>
      <c r="V85" s="2" t="inlineStr"/>
    </row>
    <row r="86" ht="15" customHeight="1">
      <c r="A86" t="inlineStr">
        <is>
          <t>A 390-2026</t>
        </is>
      </c>
      <c r="B86" t="inlineStr">
        <is>
          <t>avverkningsanmälan</t>
        </is>
      </c>
      <c r="C86" t="inlineStr">
        <is>
          <t>Föryngringsavverkning</t>
        </is>
      </c>
      <c r="D86" s="1" t="n">
        <v>46028</v>
      </c>
      <c r="E86" s="1" t="n">
        <v>46323</v>
      </c>
      <c r="F86" t="inlineStr">
        <is>
          <t>NORRBOTTENS LÄN</t>
        </is>
      </c>
      <c r="G86" t="inlineStr">
        <is>
          <t>ARJEPLOG</t>
        </is>
      </c>
      <c r="I86" t="n">
        <v>19.5</v>
      </c>
      <c r="J86" t="n">
        <v>0</v>
      </c>
      <c r="K86" t="n">
        <v>0</v>
      </c>
      <c r="L86" t="n">
        <v>0</v>
      </c>
      <c r="M86" t="n">
        <v>0</v>
      </c>
      <c r="N86" t="n">
        <v>0</v>
      </c>
      <c r="O86" t="n">
        <v>0</v>
      </c>
      <c r="P86" t="n">
        <v>0</v>
      </c>
      <c r="Q86" t="n">
        <v>0</v>
      </c>
      <c r="R86" t="n">
        <v>0</v>
      </c>
      <c r="S86" t="n">
        <v>0</v>
      </c>
      <c r="T86" t="n">
        <v>0</v>
      </c>
      <c r="U86" t="n">
        <v>0</v>
      </c>
      <c r="V86" s="2" t="inlineStr"/>
    </row>
    <row r="87" ht="15" customHeight="1">
      <c r="A87" t="inlineStr">
        <is>
          <t>A 26811-2022</t>
        </is>
      </c>
      <c r="B87" t="inlineStr">
        <is>
          <t>avverkningsanmälan</t>
        </is>
      </c>
      <c r="C87" t="inlineStr">
        <is>
          <t>Avverkning för annat ändamål</t>
        </is>
      </c>
      <c r="D87" s="1" t="n">
        <v>44735</v>
      </c>
      <c r="E87" s="1" t="n">
        <v>46323</v>
      </c>
      <c r="F87" t="inlineStr">
        <is>
          <t>NORRBOTTENS LÄN</t>
        </is>
      </c>
      <c r="G87" t="inlineStr">
        <is>
          <t>ARJEPLOG</t>
        </is>
      </c>
      <c r="H87" t="inlineStr">
        <is>
          <t>Övriga statliga verk och myndigheter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44218-2023</t>
        </is>
      </c>
      <c r="B88" t="inlineStr">
        <is>
          <t>avverkningsanmälan</t>
        </is>
      </c>
      <c r="C88" t="inlineStr">
        <is>
          <t>Avverkning för annat ändamål</t>
        </is>
      </c>
      <c r="D88" s="1" t="n">
        <v>45183</v>
      </c>
      <c r="E88" s="1" t="n">
        <v>46323</v>
      </c>
      <c r="F88" t="inlineStr">
        <is>
          <t>NORRBOTTENS LÄN</t>
        </is>
      </c>
      <c r="G88" t="inlineStr">
        <is>
          <t>ARJEPLOG</t>
        </is>
      </c>
      <c r="H88" t="inlineStr">
        <is>
          <t>Allmännings- och besparingsskogar</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58989-2024</t>
        </is>
      </c>
      <c r="B89" t="inlineStr">
        <is>
          <t>avverkningsanmälan</t>
        </is>
      </c>
      <c r="C89" t="inlineStr">
        <is>
          <t>Avverkning för annat ändamål</t>
        </is>
      </c>
      <c r="D89" s="1" t="n">
        <v>45636</v>
      </c>
      <c r="E89" s="1" t="n">
        <v>46323</v>
      </c>
      <c r="F89" t="inlineStr">
        <is>
          <t>NORRBOTTENS LÄN</t>
        </is>
      </c>
      <c r="G89" t="inlineStr">
        <is>
          <t>ARJEPLOG</t>
        </is>
      </c>
      <c r="H89" t="inlineStr">
        <is>
          <t>Sveaskog</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39456-2026</t>
        </is>
      </c>
      <c r="B90" t="inlineStr">
        <is>
          <t>avverkningsanmälan</t>
        </is>
      </c>
      <c r="C90" t="inlineStr">
        <is>
          <t>Föryngringsavverkning</t>
        </is>
      </c>
      <c r="D90" s="1" t="n">
        <v>46288</v>
      </c>
      <c r="E90" s="1" t="n">
        <v>46323</v>
      </c>
      <c r="F90" t="inlineStr">
        <is>
          <t>NORRBOTTENS LÄN</t>
        </is>
      </c>
      <c r="G90" t="inlineStr">
        <is>
          <t>ARJEPLOG</t>
        </is>
      </c>
      <c r="I90" t="n">
        <v>16.2</v>
      </c>
      <c r="J90" t="n">
        <v>0</v>
      </c>
      <c r="K90" t="n">
        <v>0</v>
      </c>
      <c r="L90" t="n">
        <v>0</v>
      </c>
      <c r="M90" t="n">
        <v>0</v>
      </c>
      <c r="N90" t="n">
        <v>0</v>
      </c>
      <c r="O90" t="n">
        <v>0</v>
      </c>
      <c r="P90" t="n">
        <v>0</v>
      </c>
      <c r="Q90" t="n">
        <v>0</v>
      </c>
      <c r="R90" t="n">
        <v>0</v>
      </c>
      <c r="S90" t="n">
        <v>0</v>
      </c>
      <c r="T90" t="n">
        <v>0</v>
      </c>
      <c r="U90" t="n">
        <v>0</v>
      </c>
      <c r="V90" s="2" t="inlineStr"/>
    </row>
    <row r="91" ht="15" customHeight="1">
      <c r="A91" t="inlineStr">
        <is>
          <t>A 64840-2023</t>
        </is>
      </c>
      <c r="B91" t="inlineStr">
        <is>
          <t>avverkningsanmälan</t>
        </is>
      </c>
      <c r="C91" t="inlineStr">
        <is>
          <t>Föryngringsavverkning</t>
        </is>
      </c>
      <c r="D91" s="1" t="n">
        <v>45281</v>
      </c>
      <c r="E91" s="1" t="n">
        <v>46323</v>
      </c>
      <c r="F91" t="inlineStr">
        <is>
          <t>NORRBOTTENS LÄN</t>
        </is>
      </c>
      <c r="G91" t="inlineStr">
        <is>
          <t>ARJEPLOG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25270-2023</t>
        </is>
      </c>
      <c r="B92" t="inlineStr">
        <is>
          <t>avverkningsanmälan</t>
        </is>
      </c>
      <c r="C92" t="inlineStr">
        <is>
          <t>Föryngringsavverkning</t>
        </is>
      </c>
      <c r="D92" s="1" t="n">
        <v>45079</v>
      </c>
      <c r="E92" s="1" t="n">
        <v>46323</v>
      </c>
      <c r="F92" t="inlineStr">
        <is>
          <t>NORRBOTTENS LÄN</t>
        </is>
      </c>
      <c r="G92" t="inlineStr">
        <is>
          <t>ARJEPLOG</t>
        </is>
      </c>
      <c r="H92" t="inlineStr">
        <is>
          <t>Övriga statliga verk och myndigheter</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20322-2026</t>
        </is>
      </c>
      <c r="B93" t="inlineStr">
        <is>
          <t>avverkningsanmälan</t>
        </is>
      </c>
      <c r="C93" t="inlineStr">
        <is>
          <t>Föryngringsavverkning</t>
        </is>
      </c>
      <c r="D93" s="1" t="n">
        <v>46139</v>
      </c>
      <c r="E93" s="1" t="n">
        <v>46323</v>
      </c>
      <c r="F93" t="inlineStr">
        <is>
          <t>NORRBOTTENS LÄN</t>
        </is>
      </c>
      <c r="G93" t="inlineStr">
        <is>
          <t>ARJEPLOG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64816-2023</t>
        </is>
      </c>
      <c r="B94" t="inlineStr">
        <is>
          <t>avverkningsanmälan</t>
        </is>
      </c>
      <c r="C94" t="inlineStr">
        <is>
          <t>Föryngringsavverkning</t>
        </is>
      </c>
      <c r="D94" s="1" t="n">
        <v>45281</v>
      </c>
      <c r="E94" s="1" t="n">
        <v>46323</v>
      </c>
      <c r="F94" t="inlineStr">
        <is>
          <t>NORRBOTTENS LÄN</t>
        </is>
      </c>
      <c r="G94" t="inlineStr">
        <is>
          <t>ARJEPLOG</t>
        </is>
      </c>
      <c r="I94" t="n">
        <v>13.4</v>
      </c>
      <c r="J94" t="n">
        <v>0</v>
      </c>
      <c r="K94" t="n">
        <v>0</v>
      </c>
      <c r="L94" t="n">
        <v>0</v>
      </c>
      <c r="M94" t="n">
        <v>0</v>
      </c>
      <c r="N94" t="n">
        <v>0</v>
      </c>
      <c r="O94" t="n">
        <v>0</v>
      </c>
      <c r="P94" t="n">
        <v>0</v>
      </c>
      <c r="Q94" t="n">
        <v>0</v>
      </c>
      <c r="R94" t="n">
        <v>0</v>
      </c>
      <c r="S94" t="n">
        <v>0</v>
      </c>
      <c r="T94" t="n">
        <v>0</v>
      </c>
      <c r="U94" t="n">
        <v>0</v>
      </c>
      <c r="V94" s="2" t="inlineStr"/>
    </row>
    <row r="95" ht="15" customHeight="1">
      <c r="A95" t="inlineStr">
        <is>
          <t>A 33993-2026</t>
        </is>
      </c>
      <c r="B95" t="inlineStr">
        <is>
          <t>avverkningsanmälan</t>
        </is>
      </c>
      <c r="C95" t="inlineStr">
        <is>
          <t>Avverkning för annat ändamål</t>
        </is>
      </c>
      <c r="D95" s="1" t="n">
        <v>46252</v>
      </c>
      <c r="E95" s="1" t="n">
        <v>46323</v>
      </c>
      <c r="F95" t="inlineStr">
        <is>
          <t>NORRBOTTENS LÄN</t>
        </is>
      </c>
      <c r="G95" t="inlineStr">
        <is>
          <t>ARJEPLOG</t>
        </is>
      </c>
      <c r="H95" t="inlineStr">
        <is>
          <t>Sveaskog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46910-2024</t>
        </is>
      </c>
      <c r="B96" t="inlineStr">
        <is>
          <t>avverkningsanmälan</t>
        </is>
      </c>
      <c r="C96" t="inlineStr">
        <is>
          <t>Föryngringsavverkning</t>
        </is>
      </c>
      <c r="D96" s="1" t="n">
        <v>45583</v>
      </c>
      <c r="E96" s="1" t="n">
        <v>46323</v>
      </c>
      <c r="F96" t="inlineStr">
        <is>
          <t>NORRBOTTENS LÄN</t>
        </is>
      </c>
      <c r="G96" t="inlineStr">
        <is>
          <t>ARJEPLOG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58370-2023</t>
        </is>
      </c>
      <c r="B97" t="inlineStr">
        <is>
          <t>avverkningsanmälan</t>
        </is>
      </c>
      <c r="C97" t="inlineStr">
        <is>
          <t>Avverkning för att bevara och utveckla /försöksver</t>
        </is>
      </c>
      <c r="D97" s="1" t="n">
        <v>45250</v>
      </c>
      <c r="E97" s="1" t="n">
        <v>46323</v>
      </c>
      <c r="F97" t="inlineStr">
        <is>
          <t>NORRBOTTENS LÄN</t>
        </is>
      </c>
      <c r="G97" t="inlineStr">
        <is>
          <t>ARJEPLOG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43045-2022</t>
        </is>
      </c>
      <c r="B98" t="inlineStr">
        <is>
          <t>avverkningsanmälan</t>
        </is>
      </c>
      <c r="C98" t="inlineStr">
        <is>
          <t>Föryngringsavverkning</t>
        </is>
      </c>
      <c r="D98" s="1" t="n">
        <v>44833</v>
      </c>
      <c r="E98" s="1" t="n">
        <v>46323</v>
      </c>
      <c r="F98" t="inlineStr">
        <is>
          <t>NORRBOTTENS LÄN</t>
        </is>
      </c>
      <c r="G98" t="inlineStr">
        <is>
          <t>ARJEPLOG</t>
        </is>
      </c>
      <c r="I98" t="n">
        <v>24.6</v>
      </c>
      <c r="J98" t="n">
        <v>0</v>
      </c>
      <c r="K98" t="n">
        <v>0</v>
      </c>
      <c r="L98" t="n">
        <v>0</v>
      </c>
      <c r="M98" t="n">
        <v>0</v>
      </c>
      <c r="N98" t="n">
        <v>0</v>
      </c>
      <c r="O98" t="n">
        <v>0</v>
      </c>
      <c r="P98" t="n">
        <v>0</v>
      </c>
      <c r="Q98" t="n">
        <v>0</v>
      </c>
      <c r="R98" t="n">
        <v>0</v>
      </c>
      <c r="S98" t="n">
        <v>0</v>
      </c>
      <c r="T98" t="n">
        <v>0</v>
      </c>
      <c r="U98" t="n">
        <v>0</v>
      </c>
      <c r="V98" s="2" t="inlineStr"/>
    </row>
    <row r="99" ht="15" customHeight="1">
      <c r="A99" t="inlineStr">
        <is>
          <t>A 43045-2022</t>
        </is>
      </c>
      <c r="B99" t="inlineStr">
        <is>
          <t>avverkningsanmälan</t>
        </is>
      </c>
      <c r="C99" t="inlineStr">
        <is>
          <t>Föryngringsavverkning</t>
        </is>
      </c>
      <c r="D99" s="1" t="n">
        <v>44833</v>
      </c>
      <c r="E99" s="1" t="n">
        <v>46323</v>
      </c>
      <c r="F99" t="inlineStr">
        <is>
          <t>NORRBOTTENS LÄN</t>
        </is>
      </c>
      <c r="G99" t="inlineStr">
        <is>
          <t>ARJEPLOG</t>
        </is>
      </c>
      <c r="I99" t="n">
        <v>23.2</v>
      </c>
      <c r="J99" t="n">
        <v>0</v>
      </c>
      <c r="K99" t="n">
        <v>0</v>
      </c>
      <c r="L99" t="n">
        <v>0</v>
      </c>
      <c r="M99" t="n">
        <v>0</v>
      </c>
      <c r="N99" t="n">
        <v>0</v>
      </c>
      <c r="O99" t="n">
        <v>0</v>
      </c>
      <c r="P99" t="n">
        <v>0</v>
      </c>
      <c r="Q99" t="n">
        <v>0</v>
      </c>
      <c r="R99" t="n">
        <v>0</v>
      </c>
      <c r="S99" t="n">
        <v>0</v>
      </c>
      <c r="T99" t="n">
        <v>0</v>
      </c>
      <c r="U99" t="n">
        <v>0</v>
      </c>
      <c r="V99" s="2" t="inlineStr"/>
    </row>
    <row r="100" ht="15" customHeight="1">
      <c r="A100" t="inlineStr">
        <is>
          <t>A 41717-2026</t>
        </is>
      </c>
      <c r="B100" t="inlineStr">
        <is>
          <t>avverkningsanmälan</t>
        </is>
      </c>
      <c r="C100" t="inlineStr">
        <is>
          <t>Föryngringsavverkning</t>
        </is>
      </c>
      <c r="D100" s="1" t="n">
        <v>46302</v>
      </c>
      <c r="E100" s="1" t="n">
        <v>46323</v>
      </c>
      <c r="F100" t="inlineStr">
        <is>
          <t>NORRBOTTENS LÄN</t>
        </is>
      </c>
      <c r="G100" t="inlineStr">
        <is>
          <t>ARJEPLOG</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41587-2026</t>
        </is>
      </c>
      <c r="B101" t="inlineStr">
        <is>
          <t>avverkningsanmälan</t>
        </is>
      </c>
      <c r="C101" t="inlineStr">
        <is>
          <t>Föryngringsavverkning</t>
        </is>
      </c>
      <c r="D101" s="1" t="n">
        <v>46302</v>
      </c>
      <c r="E101" s="1" t="n">
        <v>46323</v>
      </c>
      <c r="F101" t="inlineStr">
        <is>
          <t>NORRBOTTENS LÄN</t>
        </is>
      </c>
      <c r="G101" t="inlineStr">
        <is>
          <t>ARJEPLOG</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38823-2026</t>
        </is>
      </c>
      <c r="B102" t="inlineStr">
        <is>
          <t>avverkningsanmälan</t>
        </is>
      </c>
      <c r="C102" t="inlineStr">
        <is>
          <t>Avverkning för annat ändamål</t>
        </is>
      </c>
      <c r="D102" s="1" t="n">
        <v>46286</v>
      </c>
      <c r="E102" s="1" t="n">
        <v>46323</v>
      </c>
      <c r="F102" t="inlineStr">
        <is>
          <t>NORRBOTTENS LÄN</t>
        </is>
      </c>
      <c r="G102" t="inlineStr">
        <is>
          <t>ARJEPLOG</t>
        </is>
      </c>
      <c r="H102" t="inlineStr">
        <is>
          <t>Kyrkan</t>
        </is>
      </c>
      <c r="I102" t="n">
        <v>9.199999999999999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26486-2024</t>
        </is>
      </c>
      <c r="B103" t="inlineStr">
        <is>
          <t>avverkningsanmälan</t>
        </is>
      </c>
      <c r="C103" t="inlineStr">
        <is>
          <t>Föryngringsavverkning</t>
        </is>
      </c>
      <c r="D103" s="1" t="n">
        <v>45469</v>
      </c>
      <c r="E103" s="1" t="n">
        <v>46323</v>
      </c>
      <c r="F103" t="inlineStr">
        <is>
          <t>NORRBOTTENS LÄN</t>
        </is>
      </c>
      <c r="G103" t="inlineStr">
        <is>
          <t>ARJEPLOG</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42393-2026</t>
        </is>
      </c>
      <c r="B104" t="inlineStr">
        <is>
          <t>avverkningsanmälan</t>
        </is>
      </c>
      <c r="C104" t="inlineStr">
        <is>
          <t>Avverkning för annat ändamål</t>
        </is>
      </c>
      <c r="D104" s="1" t="n">
        <v>46307</v>
      </c>
      <c r="E104" s="1" t="n">
        <v>46323</v>
      </c>
      <c r="F104" t="inlineStr">
        <is>
          <t>NORRBOTTENS LÄN</t>
        </is>
      </c>
      <c r="G104" t="inlineStr">
        <is>
          <t>ARJEPLOG</t>
        </is>
      </c>
      <c r="H104" t="inlineStr">
        <is>
          <t>Övriga statliga verk och myndigheter</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28787-2026</t>
        </is>
      </c>
      <c r="B105" t="inlineStr">
        <is>
          <t>avverkningsanmälan</t>
        </is>
      </c>
      <c r="C105" t="inlineStr">
        <is>
          <t>Föryngringsavverkning</t>
        </is>
      </c>
      <c r="D105" s="1" t="n">
        <v>46198</v>
      </c>
      <c r="E105" s="1" t="n">
        <v>46323</v>
      </c>
      <c r="F105" t="inlineStr">
        <is>
          <t>NORRBOTTENS LÄN</t>
        </is>
      </c>
      <c r="G105" t="inlineStr">
        <is>
          <t>ARJEPLOG</t>
        </is>
      </c>
      <c r="H105" t="inlineStr">
        <is>
          <t>Allmännings- och besparingsskogar</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28804-2026</t>
        </is>
      </c>
      <c r="B106" t="inlineStr">
        <is>
          <t>avverkningsanmälan</t>
        </is>
      </c>
      <c r="C106" t="inlineStr">
        <is>
          <t>Föryngringsavverkning</t>
        </is>
      </c>
      <c r="D106" s="1" t="n">
        <v>46198</v>
      </c>
      <c r="E106" s="1" t="n">
        <v>46323</v>
      </c>
      <c r="F106" t="inlineStr">
        <is>
          <t>NORRBOTTENS LÄN</t>
        </is>
      </c>
      <c r="G106" t="inlineStr">
        <is>
          <t>ARJEPLOG</t>
        </is>
      </c>
      <c r="H106" t="inlineStr">
        <is>
          <t>Allmännings- och besparingsskogar</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20319-2026</t>
        </is>
      </c>
      <c r="B107" t="inlineStr">
        <is>
          <t>avverkningsanmälan</t>
        </is>
      </c>
      <c r="C107" t="inlineStr">
        <is>
          <t>Föryngringsavverkning</t>
        </is>
      </c>
      <c r="D107" s="1" t="n">
        <v>46139</v>
      </c>
      <c r="E107" s="1" t="n">
        <v>46323</v>
      </c>
      <c r="F107" t="inlineStr">
        <is>
          <t>NORRBOTTENS LÄN</t>
        </is>
      </c>
      <c r="G107" t="inlineStr">
        <is>
          <t>ARJEPLOG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20326-2026</t>
        </is>
      </c>
      <c r="B108" t="inlineStr">
        <is>
          <t>avverkningsanmälan</t>
        </is>
      </c>
      <c r="C108" t="inlineStr">
        <is>
          <t>Föryngringsavverkning</t>
        </is>
      </c>
      <c r="D108" s="1" t="n">
        <v>46139</v>
      </c>
      <c r="E108" s="1" t="n">
        <v>46323</v>
      </c>
      <c r="F108" t="inlineStr">
        <is>
          <t>NORRBOTTENS LÄN</t>
        </is>
      </c>
      <c r="G108" t="inlineStr">
        <is>
          <t>ARJEPLOG</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26472-2024</t>
        </is>
      </c>
      <c r="B109" t="inlineStr">
        <is>
          <t>avverkningsanmälan</t>
        </is>
      </c>
      <c r="C109" t="inlineStr">
        <is>
          <t>Föryngringsavverkning</t>
        </is>
      </c>
      <c r="D109" s="1" t="n">
        <v>45469</v>
      </c>
      <c r="E109" s="1" t="n">
        <v>46323</v>
      </c>
      <c r="F109" t="inlineStr">
        <is>
          <t>NORRBOTTENS LÄN</t>
        </is>
      </c>
      <c r="G109" t="inlineStr">
        <is>
          <t>ARJEPLOG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28551-2026</t>
        </is>
      </c>
      <c r="B110" t="inlineStr">
        <is>
          <t>avverkningsanmälan</t>
        </is>
      </c>
      <c r="C110" t="inlineStr">
        <is>
          <t>Föryngringsavverkning</t>
        </is>
      </c>
      <c r="D110" s="1" t="n">
        <v>46197</v>
      </c>
      <c r="E110" s="1" t="n">
        <v>46323</v>
      </c>
      <c r="F110" t="inlineStr">
        <is>
          <t>NORRBOTTENS LÄN</t>
        </is>
      </c>
      <c r="G110" t="inlineStr">
        <is>
          <t>ARJEPLOG</t>
        </is>
      </c>
      <c r="H110" t="inlineStr">
        <is>
          <t>Allmännings- och besparingsskogar</t>
        </is>
      </c>
      <c r="I110" t="n">
        <v>22.9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28679-2026</t>
        </is>
      </c>
      <c r="B111" t="inlineStr">
        <is>
          <t>avverkningsanmälan</t>
        </is>
      </c>
      <c r="C111" t="inlineStr">
        <is>
          <t>Föryngringsavverkning</t>
        </is>
      </c>
      <c r="D111" s="1" t="n">
        <v>46198</v>
      </c>
      <c r="E111" s="1" t="n">
        <v>46323</v>
      </c>
      <c r="F111" t="inlineStr">
        <is>
          <t>NORRBOTTENS LÄN</t>
        </is>
      </c>
      <c r="G111" t="inlineStr">
        <is>
          <t>ARJEPLOG</t>
        </is>
      </c>
      <c r="H111" t="inlineStr">
        <is>
          <t>Allmännings- och besparingsskogar</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36470-2026</t>
        </is>
      </c>
      <c r="B112" t="inlineStr">
        <is>
          <t>avverkningsanmälan</t>
        </is>
      </c>
      <c r="C112" t="inlineStr">
        <is>
          <t>Föryngringsavverkning</t>
        </is>
      </c>
      <c r="D112" s="1" t="n">
        <v>46269</v>
      </c>
      <c r="E112" s="1" t="n">
        <v>46323</v>
      </c>
      <c r="F112" t="inlineStr">
        <is>
          <t>NORRBOTTENS LÄN</t>
        </is>
      </c>
      <c r="G112" t="inlineStr">
        <is>
          <t>ARJEPLOG</t>
        </is>
      </c>
      <c r="H112" t="inlineStr">
        <is>
          <t>Sveaskog</t>
        </is>
      </c>
      <c r="I112" t="n">
        <v>13.9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36006-2026</t>
        </is>
      </c>
      <c r="B113" t="inlineStr">
        <is>
          <t>avverkningsanmälan</t>
        </is>
      </c>
      <c r="C113" t="inlineStr">
        <is>
          <t>Avverkning för annat ändamål</t>
        </is>
      </c>
      <c r="D113" s="1" t="n">
        <v>46266</v>
      </c>
      <c r="E113" s="1" t="n">
        <v>46323</v>
      </c>
      <c r="F113" t="inlineStr">
        <is>
          <t>NORRBOTTENS LÄN</t>
        </is>
      </c>
      <c r="G113" t="inlineStr">
        <is>
          <t>ARJEPLOG</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55266-2024</t>
        </is>
      </c>
      <c r="B114" t="inlineStr">
        <is>
          <t>avverkningsanmälan</t>
        </is>
      </c>
      <c r="C114" t="inlineStr">
        <is>
          <t>Föryngringsavverkning</t>
        </is>
      </c>
      <c r="D114" s="1" t="n">
        <v>45621</v>
      </c>
      <c r="E114" s="1" t="n">
        <v>46323</v>
      </c>
      <c r="F114" t="inlineStr">
        <is>
          <t>NORRBOTTENS LÄN</t>
        </is>
      </c>
      <c r="G114" t="inlineStr">
        <is>
          <t>ARJEPLOG</t>
        </is>
      </c>
      <c r="I114" t="n">
        <v>11.3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20789-2022</t>
        </is>
      </c>
      <c r="B115" t="inlineStr">
        <is>
          <t>avverkningsanmälan</t>
        </is>
      </c>
      <c r="C115" t="inlineStr">
        <is>
          <t>Föryngringsavverkning</t>
        </is>
      </c>
      <c r="D115" s="1" t="n">
        <v>44701</v>
      </c>
      <c r="E115" s="1" t="n">
        <v>46323</v>
      </c>
      <c r="F115" t="inlineStr">
        <is>
          <t>NORRBOTTENS LÄN</t>
        </is>
      </c>
      <c r="G115" t="inlineStr">
        <is>
          <t>ARJEPLOG</t>
        </is>
      </c>
      <c r="I115" t="n">
        <v>20.3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31104-2025</t>
        </is>
      </c>
      <c r="B116" t="inlineStr">
        <is>
          <t>avverkningsanmälan</t>
        </is>
      </c>
      <c r="C116" t="inlineStr">
        <is>
          <t>Föryngringsavverkning</t>
        </is>
      </c>
      <c r="D116" s="1" t="n">
        <v>45832</v>
      </c>
      <c r="E116" s="1" t="n">
        <v>46323</v>
      </c>
      <c r="F116" t="inlineStr">
        <is>
          <t>NORRBOTTENS LÄN</t>
        </is>
      </c>
      <c r="G116" t="inlineStr">
        <is>
          <t>ARJEPLOG</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25275-2023</t>
        </is>
      </c>
      <c r="B117" t="inlineStr">
        <is>
          <t>avverkningsanmälan</t>
        </is>
      </c>
      <c r="C117" t="inlineStr">
        <is>
          <t>Föryngringsavverkning</t>
        </is>
      </c>
      <c r="D117" s="1" t="n">
        <v>45079</v>
      </c>
      <c r="E117" s="1" t="n">
        <v>46323</v>
      </c>
      <c r="F117" t="inlineStr">
        <is>
          <t>NORRBOTTENS LÄN</t>
        </is>
      </c>
      <c r="G117" t="inlineStr">
        <is>
          <t>ARJEPLOG</t>
        </is>
      </c>
      <c r="H117" t="inlineStr">
        <is>
          <t>Övriga statliga verk och myndigheter</t>
        </is>
      </c>
      <c r="I117" t="n">
        <v>22.7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27092-2022</t>
        </is>
      </c>
      <c r="B118" t="inlineStr">
        <is>
          <t>avverkningsanmälan</t>
        </is>
      </c>
      <c r="C118" t="inlineStr">
        <is>
          <t>Föryngringsavverkning</t>
        </is>
      </c>
      <c r="D118" s="1" t="n">
        <v>44741</v>
      </c>
      <c r="E118" s="1" t="n">
        <v>46323</v>
      </c>
      <c r="F118" t="inlineStr">
        <is>
          <t>NORRBOTTENS LÄN</t>
        </is>
      </c>
      <c r="G118" t="inlineStr">
        <is>
          <t>ARJEPLOG</t>
        </is>
      </c>
      <c r="I118" t="n">
        <v>15.6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25559-2022</t>
        </is>
      </c>
      <c r="B119" t="inlineStr">
        <is>
          <t>avverkningsanmälan</t>
        </is>
      </c>
      <c r="C119" t="inlineStr">
        <is>
          <t>Föryngringsavverkning</t>
        </is>
      </c>
      <c r="D119" s="1" t="n">
        <v>44732</v>
      </c>
      <c r="E119" s="1" t="n">
        <v>46323</v>
      </c>
      <c r="F119" t="inlineStr">
        <is>
          <t>NORRBOTTENS LÄN</t>
        </is>
      </c>
      <c r="G119" t="inlineStr">
        <is>
          <t>ARJEPLOG</t>
        </is>
      </c>
      <c r="H119" t="inlineStr">
        <is>
          <t>Övriga statliga verk och myndigheter</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27836-2026</t>
        </is>
      </c>
      <c r="B120" t="inlineStr">
        <is>
          <t>avverkningsanmälan</t>
        </is>
      </c>
      <c r="C120" t="inlineStr">
        <is>
          <t>Avverkning för annat ändamål</t>
        </is>
      </c>
      <c r="D120" s="1" t="n">
        <v>46189</v>
      </c>
      <c r="E120" s="1" t="n">
        <v>46323</v>
      </c>
      <c r="F120" t="inlineStr">
        <is>
          <t>NORRBOTTENS LÄN</t>
        </is>
      </c>
      <c r="G120" t="inlineStr">
        <is>
          <t>ARJEPLOG</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23335-2026</t>
        </is>
      </c>
      <c r="B121" t="inlineStr">
        <is>
          <t>avverkningsanmälan</t>
        </is>
      </c>
      <c r="C121" t="inlineStr">
        <is>
          <t>Föryngringsavverkning</t>
        </is>
      </c>
      <c r="D121" s="1" t="n">
        <v>46162</v>
      </c>
      <c r="E121" s="1" t="n">
        <v>46323</v>
      </c>
      <c r="F121" t="inlineStr">
        <is>
          <t>NORRBOTTENS LÄN</t>
        </is>
      </c>
      <c r="G121" t="inlineStr">
        <is>
          <t>ARJEPLOG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29662-2025</t>
        </is>
      </c>
      <c r="B122" t="inlineStr">
        <is>
          <t>avverkningsanmälan</t>
        </is>
      </c>
      <c r="C122" t="inlineStr">
        <is>
          <t>Föryngringsavverkning</t>
        </is>
      </c>
      <c r="D122" s="1" t="n">
        <v>45825</v>
      </c>
      <c r="E122" s="1" t="n">
        <v>46323</v>
      </c>
      <c r="F122" t="inlineStr">
        <is>
          <t>NORRBOTTENS LÄN</t>
        </is>
      </c>
      <c r="G122" t="inlineStr">
        <is>
          <t>ARJEPLOG</t>
        </is>
      </c>
      <c r="H122" t="inlineStr">
        <is>
          <t>Allmännings- och besparingsskogar</t>
        </is>
      </c>
      <c r="I122" t="n">
        <v>23.7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29674-2025</t>
        </is>
      </c>
      <c r="B123" t="inlineStr">
        <is>
          <t>avverkningsanmälan</t>
        </is>
      </c>
      <c r="C123" t="inlineStr">
        <is>
          <t>Föryngringsavverkning</t>
        </is>
      </c>
      <c r="D123" s="1" t="n">
        <v>45825</v>
      </c>
      <c r="E123" s="1" t="n">
        <v>46323</v>
      </c>
      <c r="F123" t="inlineStr">
        <is>
          <t>NORRBOTTENS LÄN</t>
        </is>
      </c>
      <c r="G123" t="inlineStr">
        <is>
          <t>ARJEPLOG</t>
        </is>
      </c>
      <c r="H123" t="inlineStr">
        <is>
          <t>Allmännings- och besparingsskogar</t>
        </is>
      </c>
      <c r="I123" t="n">
        <v>25.1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23330-2026</t>
        </is>
      </c>
      <c r="B124" t="inlineStr">
        <is>
          <t>avverkningsanmälan</t>
        </is>
      </c>
      <c r="C124" t="inlineStr">
        <is>
          <t>Föryngringsavverkning</t>
        </is>
      </c>
      <c r="D124" s="1" t="n">
        <v>46162</v>
      </c>
      <c r="E124" s="1" t="n">
        <v>46323</v>
      </c>
      <c r="F124" t="inlineStr">
        <is>
          <t>NORRBOTTENS LÄN</t>
        </is>
      </c>
      <c r="G124" t="inlineStr">
        <is>
          <t>ARJEPLOG</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26479-2024</t>
        </is>
      </c>
      <c r="B125" t="inlineStr">
        <is>
          <t>avverkningsanmälan</t>
        </is>
      </c>
      <c r="C125" t="inlineStr">
        <is>
          <t>Föryngringsavverkning</t>
        </is>
      </c>
      <c r="D125" s="1" t="n">
        <v>45468</v>
      </c>
      <c r="E125" s="1" t="n">
        <v>46323</v>
      </c>
      <c r="F125" t="inlineStr">
        <is>
          <t>NORRBOTTENS LÄN</t>
        </is>
      </c>
      <c r="G125" t="inlineStr">
        <is>
          <t>ARJEPLOG</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53822-2024</t>
        </is>
      </c>
      <c r="B126" t="inlineStr">
        <is>
          <t>avverkningsanmälan</t>
        </is>
      </c>
      <c r="C126" t="inlineStr">
        <is>
          <t>Föryngringsavverkning</t>
        </is>
      </c>
      <c r="D126" s="1" t="n">
        <v>45614</v>
      </c>
      <c r="E126" s="1" t="n">
        <v>46323</v>
      </c>
      <c r="F126" t="inlineStr">
        <is>
          <t>NORRBOTTENS LÄN</t>
        </is>
      </c>
      <c r="G126" t="inlineStr">
        <is>
          <t>ARJEPLOG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26048-2026</t>
        </is>
      </c>
      <c r="B127" t="inlineStr">
        <is>
          <t>avverkningsanmälan</t>
        </is>
      </c>
      <c r="C127" t="inlineStr">
        <is>
          <t>Föryngringsavverkning</t>
        </is>
      </c>
      <c r="D127" s="1" t="n">
        <v>46181</v>
      </c>
      <c r="E127" s="1" t="n">
        <v>46323</v>
      </c>
      <c r="F127" t="inlineStr">
        <is>
          <t>NORRBOTTENS LÄN</t>
        </is>
      </c>
      <c r="G127" t="inlineStr">
        <is>
          <t>ARJEPLOG</t>
        </is>
      </c>
      <c r="I127" t="n">
        <v>16.9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27102-2026</t>
        </is>
      </c>
      <c r="B128" t="inlineStr">
        <is>
          <t>avverkningsanmälan</t>
        </is>
      </c>
      <c r="C128" t="inlineStr">
        <is>
          <t>Avverkning för annat ändamål</t>
        </is>
      </c>
      <c r="D128" s="1" t="n">
        <v>46188</v>
      </c>
      <c r="E128" s="1" t="n">
        <v>46323</v>
      </c>
      <c r="F128" t="inlineStr">
        <is>
          <t>NORRBOTTENS LÄN</t>
        </is>
      </c>
      <c r="G128" t="inlineStr">
        <is>
          <t>ARJEPLOG</t>
        </is>
      </c>
      <c r="H128" t="inlineStr">
        <is>
          <t>Sveaskog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28560-2026</t>
        </is>
      </c>
      <c r="B129" t="inlineStr">
        <is>
          <t>avverkningsanmälan</t>
        </is>
      </c>
      <c r="C129" t="inlineStr">
        <is>
          <t>Föryngringsavverkning</t>
        </is>
      </c>
      <c r="D129" s="1" t="n">
        <v>46197</v>
      </c>
      <c r="E129" s="1" t="n">
        <v>46323</v>
      </c>
      <c r="F129" t="inlineStr">
        <is>
          <t>NORRBOTTENS LÄN</t>
        </is>
      </c>
      <c r="G129" t="inlineStr">
        <is>
          <t>ARJEPLOG</t>
        </is>
      </c>
      <c r="H129" t="inlineStr">
        <is>
          <t>Allmännings- och besparingsskogar</t>
        </is>
      </c>
      <c r="I129" t="n">
        <v>14.2</v>
      </c>
      <c r="J129" t="n">
        <v>0</v>
      </c>
      <c r="K129" t="n">
        <v>0</v>
      </c>
      <c r="L129" t="n">
        <v>0</v>
      </c>
      <c r="M129" t="n">
        <v>0</v>
      </c>
      <c r="N129" t="n">
        <v>0</v>
      </c>
      <c r="O129" t="n">
        <v>0</v>
      </c>
      <c r="P129" t="n">
        <v>0</v>
      </c>
      <c r="Q129" t="n">
        <v>0</v>
      </c>
      <c r="R129" t="n">
        <v>0</v>
      </c>
      <c r="S129" t="n">
        <v>0</v>
      </c>
      <c r="T129" t="n">
        <v>0</v>
      </c>
      <c r="U129" t="n">
        <v>0</v>
      </c>
      <c r="V129" s="2" t="inlineStr"/>
    </row>
    <row r="130">
      <c r="A130" t="inlineStr">
        <is>
          <t>S 1086-2023</t>
        </is>
      </c>
      <c r="B130" t="inlineStr">
        <is>
          <t>samrådsanmälan</t>
        </is>
      </c>
      <c r="C130" t="inlineStr">
        <is>
          <t>Skogsgödsling</t>
        </is>
      </c>
      <c r="D130" s="1" t="n">
        <v>45013</v>
      </c>
      <c r="E130" s="1" t="n">
        <v>46323</v>
      </c>
      <c r="F130" t="inlineStr">
        <is>
          <t>NORRBOTTENS LÄN</t>
        </is>
      </c>
      <c r="G130" t="inlineStr">
        <is>
          <t>ARJEPLOG</t>
        </is>
      </c>
      <c r="H130" t="inlineStr">
        <is>
          <t>SCA</t>
        </is>
      </c>
      <c r="I130" t="n">
        <v>24.2</v>
      </c>
      <c r="J130" t="n">
        <v>0</v>
      </c>
      <c r="K130" t="n">
        <v>0</v>
      </c>
      <c r="L130" t="n">
        <v>0</v>
      </c>
      <c r="M130" t="n">
        <v>0</v>
      </c>
      <c r="N130" t="n">
        <v>0</v>
      </c>
      <c r="O130" t="n">
        <v>0</v>
      </c>
      <c r="P130" t="n">
        <v>0</v>
      </c>
      <c r="Q130" t="n">
        <v>0</v>
      </c>
      <c r="R130" t="n">
        <v>0</v>
      </c>
      <c r="S130" t="n">
        <v>0</v>
      </c>
      <c r="T130" t="n">
        <v>0</v>
      </c>
      <c r="U130" t="n">
        <v>0</v>
      </c>
      <c r="V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2026-10-28T03:16:52Z</dcterms:created>
  <dcterms:modified xmlns:dcterms="http://purl.org/dc/terms/" xmlns:xsi="http://www.w3.org/2001/XMLSchema-instance" xsi:type="dcterms:W3CDTF">2026-10-28T03:16:53Z</dcterms:modified>
</cp:coreProperties>
</file>