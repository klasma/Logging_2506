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46284</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46284</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46284</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46284</v>
      </c>
      <c r="F5" t="inlineStr">
        <is>
          <t>NORRBOTTENS LÄN</t>
        </is>
      </c>
      <c r="G5" t="inlineStr">
        <is>
          <t>ARJEPLOG</t>
        </is>
      </c>
      <c r="I5" t="n">
        <v>11.2</v>
      </c>
      <c r="J5" t="n">
        <v>8</v>
      </c>
      <c r="K5" t="n">
        <v>8</v>
      </c>
      <c r="L5" t="n">
        <v>12</v>
      </c>
      <c r="M5" t="n">
        <v>7</v>
      </c>
      <c r="N5" t="n">
        <v>0</v>
      </c>
      <c r="O5" t="n">
        <v>0</v>
      </c>
      <c r="P5" t="n">
        <v>0</v>
      </c>
      <c r="Q5" t="n">
        <v>19</v>
      </c>
      <c r="R5" t="n">
        <v>7</v>
      </c>
      <c r="S5" t="n">
        <v>37</v>
      </c>
      <c r="T5" t="n">
        <v>168</v>
      </c>
      <c r="U5" t="n">
        <v>167</v>
      </c>
      <c r="V5" s="2" t="inlineStr">
        <is>
          <t>Bågknotterskinn
Garnlav
Grantickeporing
Gränsticka
Ostticka
Tajgaskinn
Vitskaftad svartspik
Brunpudrad nållav
Harticka
Koralltaggsvamp
Kristallskinn
Kötticka
Rosenticka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46284</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46284</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46284</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46284</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46284</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46284</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46284</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38453-2026</t>
        </is>
      </c>
      <c r="B13" t="inlineStr">
        <is>
          <t>avverkningsanmälan</t>
        </is>
      </c>
      <c r="C13" t="inlineStr">
        <is>
          <t>Föryngringsavverkning</t>
        </is>
      </c>
      <c r="D13" s="1" t="n">
        <v>46282</v>
      </c>
      <c r="E13" s="1" t="n">
        <v>46284</v>
      </c>
      <c r="F13" t="inlineStr">
        <is>
          <t>NORRBOTTENS LÄN</t>
        </is>
      </c>
      <c r="G13" t="inlineStr">
        <is>
          <t>ARJEPLOG</t>
        </is>
      </c>
      <c r="I13" t="n">
        <v>13.8</v>
      </c>
      <c r="J13" t="n">
        <v>4</v>
      </c>
      <c r="K13" t="n">
        <v>5</v>
      </c>
      <c r="L13" t="n">
        <v>16</v>
      </c>
      <c r="M13" t="n">
        <v>3</v>
      </c>
      <c r="N13" t="n">
        <v>0</v>
      </c>
      <c r="O13" t="n">
        <v>0</v>
      </c>
      <c r="P13" t="n">
        <v>0</v>
      </c>
      <c r="Q13" t="n">
        <v>19</v>
      </c>
      <c r="R13" t="n">
        <v>3</v>
      </c>
      <c r="S13" t="n">
        <v>25</v>
      </c>
      <c r="T13" t="n">
        <v>41</v>
      </c>
      <c r="U13" t="n">
        <v>0</v>
      </c>
      <c r="V13" s="2" t="inlineStr">
        <is>
          <t>Fläckporing
Garnlav
Gräddporing
Blanksvart spiklav
Blågrå svartspik
Brunpudrad nållav
Dropptaggsvamp
Dvärgbägarlav
Knottrig blåslav
Kolflarnlav
Lavskrika
Mörk kolflarnlav
Rosenticka
Talltita
Tretåig hackspett
Ullticka
Vedflamlav
Vedskivlav
Vedtrappmossa
Luddlav
Skinnlav
Stuplav
Vedticka
Ögonpyrola
Tjäder</t>
        </is>
      </c>
      <c r="W13">
        <f>HYPERLINK("https://klasma.github.io/Logging_2506/artfynd/A 38453-2026 artfynd.xlsx", "A 38453-2026")</f>
        <v/>
      </c>
      <c r="X13">
        <f>HYPERLINK("https://klasma.github.io/Logging_2506/kartor/A 38453-2026 karta.png", "A 38453-2026")</f>
        <v/>
      </c>
      <c r="Y13">
        <f>HYPERLINK("https://klasma.github.io/Logging_2506/kartor_geotiff/A 38453-2026 georefererad karta.tif", "A 38453-2026")</f>
        <v/>
      </c>
      <c r="AA13">
        <f>HYPERLINK("https://klasma.github.io/Logging_2506/klagomål/A 38453-2026 FSC-klagomål.docx", "A 38453-2026")</f>
        <v/>
      </c>
      <c r="AB13">
        <f>HYPERLINK("https://klasma.github.io/Logging_2506/klagomålsmail/A 38453-2026 FSC-klagomål mail.docx", "A 38453-2026")</f>
        <v/>
      </c>
      <c r="AC13">
        <f>HYPERLINK("https://klasma.github.io/Logging_2506/tillsyn/A 38453-2026 tillsynsbegäran.docx", "A 38453-2026")</f>
        <v/>
      </c>
      <c r="AD13">
        <f>HYPERLINK("https://klasma.github.io/Logging_2506/tillsynsmail/A 38453-2026 tillsynsbegäran mail.docx", "A 38453-2026")</f>
        <v/>
      </c>
      <c r="AE13">
        <f>HYPERLINK("https://klasma.github.io/Logging_2506/fåglar/A 38453-2026 prioriterade fågelarter.docx", "A 38453-2026")</f>
        <v/>
      </c>
    </row>
    <row r="14" ht="15" customHeight="1">
      <c r="A14" t="inlineStr">
        <is>
          <t>A 30617-2025</t>
        </is>
      </c>
      <c r="B14" t="inlineStr">
        <is>
          <t>avverkningsanmälan</t>
        </is>
      </c>
      <c r="C14" t="inlineStr">
        <is>
          <t>Föryngringsavverkning</t>
        </is>
      </c>
      <c r="D14" s="1" t="n">
        <v>45831</v>
      </c>
      <c r="E14" s="1" t="n">
        <v>46284</v>
      </c>
      <c r="F14" t="inlineStr">
        <is>
          <t>NORRBOTTENS LÄN</t>
        </is>
      </c>
      <c r="G14" t="inlineStr">
        <is>
          <t>ARJEPLOG</t>
        </is>
      </c>
      <c r="H14" t="inlineStr">
        <is>
          <t>Allmännings- och besparingsskogar</t>
        </is>
      </c>
      <c r="I14" t="n">
        <v>39.8</v>
      </c>
      <c r="J14" t="n">
        <v>4</v>
      </c>
      <c r="K14" t="n">
        <v>3</v>
      </c>
      <c r="L14" t="n">
        <v>13</v>
      </c>
      <c r="M14" t="n">
        <v>5</v>
      </c>
      <c r="N14" t="n">
        <v>1</v>
      </c>
      <c r="O14" t="n">
        <v>0</v>
      </c>
      <c r="P14" t="n">
        <v>0</v>
      </c>
      <c r="Q14" t="n">
        <v>19</v>
      </c>
      <c r="R14" t="n">
        <v>6</v>
      </c>
      <c r="S14" t="n">
        <v>23</v>
      </c>
      <c r="T14" t="n">
        <v>73</v>
      </c>
      <c r="U14" t="n">
        <v>73</v>
      </c>
      <c r="V14"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4">
        <f>HYPERLINK("https://klasma.github.io/Logging_2506/artfynd/A 30617-2025 artfynd.xlsx", "A 30617-2025")</f>
        <v/>
      </c>
      <c r="X14">
        <f>HYPERLINK("https://klasma.github.io/Logging_2506/kartor/A 30617-2025 karta.png", "A 30617-2025")</f>
        <v/>
      </c>
      <c r="Y14">
        <f>HYPERLINK("https://klasma.github.io/Logging_2506/kartor_geotiff/A 30617-2025 georefererad karta.tif", "A 30617-2025")</f>
        <v/>
      </c>
      <c r="Z14">
        <f>HYPERLINK("https://klasma.github.io/Logging_2506/knärot/A 30617-2025 karta knärot.png", "A 30617-2025")</f>
        <v/>
      </c>
      <c r="AA14">
        <f>HYPERLINK("https://klasma.github.io/Logging_2506/klagomål/A 30617-2025 FSC-klagomål.docx", "A 30617-2025")</f>
        <v/>
      </c>
      <c r="AB14">
        <f>HYPERLINK("https://klasma.github.io/Logging_2506/klagomålsmail/A 30617-2025 FSC-klagomål mail.docx", "A 30617-2025")</f>
        <v/>
      </c>
      <c r="AC14">
        <f>HYPERLINK("https://klasma.github.io/Logging_2506/tillsyn/A 30617-2025 tillsynsbegäran.docx", "A 30617-2025")</f>
        <v/>
      </c>
      <c r="AD14">
        <f>HYPERLINK("https://klasma.github.io/Logging_2506/tillsynsmail/A 30617-2025 tillsynsbegäran mail.docx", "A 30617-2025")</f>
        <v/>
      </c>
      <c r="AE14">
        <f>HYPERLINK("https://klasma.github.io/Logging_2506/fåglar/A 30617-2025 prioriterade fågelarter.docx", "A 30617-2025")</f>
        <v/>
      </c>
    </row>
    <row r="15" ht="15" customHeight="1">
      <c r="A15" t="inlineStr">
        <is>
          <t>A 64817-2023</t>
        </is>
      </c>
      <c r="B15" t="inlineStr">
        <is>
          <t>avverkningsanmälan</t>
        </is>
      </c>
      <c r="C15" t="inlineStr">
        <is>
          <t>Föryngringsavverkning</t>
        </is>
      </c>
      <c r="D15" s="1" t="n">
        <v>45281</v>
      </c>
      <c r="E15" s="1" t="n">
        <v>46284</v>
      </c>
      <c r="F15" t="inlineStr">
        <is>
          <t>NORRBOTTENS LÄN</t>
        </is>
      </c>
      <c r="G15" t="inlineStr">
        <is>
          <t>ARJEPLOG</t>
        </is>
      </c>
      <c r="I15" t="n">
        <v>7.5</v>
      </c>
      <c r="J15" t="n">
        <v>2</v>
      </c>
      <c r="K15" t="n">
        <v>5</v>
      </c>
      <c r="L15" t="n">
        <v>13</v>
      </c>
      <c r="M15" t="n">
        <v>3</v>
      </c>
      <c r="N15" t="n">
        <v>0</v>
      </c>
      <c r="O15" t="n">
        <v>0</v>
      </c>
      <c r="P15" t="n">
        <v>0</v>
      </c>
      <c r="Q15" t="n">
        <v>16</v>
      </c>
      <c r="R15" t="n">
        <v>3</v>
      </c>
      <c r="S15" t="n">
        <v>22</v>
      </c>
      <c r="T15" t="n">
        <v>36</v>
      </c>
      <c r="U15" t="n">
        <v>36</v>
      </c>
      <c r="V1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5">
        <f>HYPERLINK("https://klasma.github.io/Logging_2506/artfynd/A 64817-2023 artfynd.xlsx", "A 64817-2023")</f>
        <v/>
      </c>
      <c r="X15">
        <f>HYPERLINK("https://klasma.github.io/Logging_2506/kartor/A 64817-2023 karta.png", "A 64817-2023")</f>
        <v/>
      </c>
      <c r="Y15">
        <f>HYPERLINK("https://klasma.github.io/Logging_2506/kartor_geotiff/A 64817-2023 georefererad karta.tif", "A 64817-2023")</f>
        <v/>
      </c>
      <c r="AA15">
        <f>HYPERLINK("https://klasma.github.io/Logging_2506/klagomål/A 64817-2023 FSC-klagomål.docx", "A 64817-2023")</f>
        <v/>
      </c>
      <c r="AB15">
        <f>HYPERLINK("https://klasma.github.io/Logging_2506/klagomålsmail/A 64817-2023 FSC-klagomål mail.docx", "A 64817-2023")</f>
        <v/>
      </c>
      <c r="AC15">
        <f>HYPERLINK("https://klasma.github.io/Logging_2506/tillsyn/A 64817-2023 tillsynsbegäran.docx", "A 64817-2023")</f>
        <v/>
      </c>
      <c r="AD15">
        <f>HYPERLINK("https://klasma.github.io/Logging_2506/tillsynsmail/A 64817-2023 tillsynsbegäran mail.docx", "A 64817-2023")</f>
        <v/>
      </c>
      <c r="AE15">
        <f>HYPERLINK("https://klasma.github.io/Logging_2506/fåglar/A 64817-2023 prioriterade fågelarter.docx", "A 64817-2023")</f>
        <v/>
      </c>
    </row>
    <row r="16" ht="15" customHeight="1">
      <c r="A16" t="inlineStr">
        <is>
          <t>A 34430-2025</t>
        </is>
      </c>
      <c r="B16" t="inlineStr">
        <is>
          <t>avverkningsanmälan</t>
        </is>
      </c>
      <c r="C16" t="inlineStr">
        <is>
          <t>Föryngringsavverkning</t>
        </is>
      </c>
      <c r="D16" s="1" t="n">
        <v>45845</v>
      </c>
      <c r="E16" s="1" t="n">
        <v>46284</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46284</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46284</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46284</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24892-2026</t>
        </is>
      </c>
      <c r="B20" t="inlineStr">
        <is>
          <t>avverkningsanmälan</t>
        </is>
      </c>
      <c r="C20" t="inlineStr">
        <is>
          <t>Föryngringsavverkning</t>
        </is>
      </c>
      <c r="D20" s="1" t="n">
        <v>46174</v>
      </c>
      <c r="E20" s="1" t="n">
        <v>46284</v>
      </c>
      <c r="F20" t="inlineStr">
        <is>
          <t>NORRBOTTENS LÄN</t>
        </is>
      </c>
      <c r="G20" t="inlineStr">
        <is>
          <t>ARJEPLOG</t>
        </is>
      </c>
      <c r="I20" t="n">
        <v>19.7</v>
      </c>
      <c r="J20" t="n">
        <v>4</v>
      </c>
      <c r="K20" t="n">
        <v>0</v>
      </c>
      <c r="L20" t="n">
        <v>10</v>
      </c>
      <c r="M20" t="n">
        <v>3</v>
      </c>
      <c r="N20" t="n">
        <v>0</v>
      </c>
      <c r="O20" t="n">
        <v>0</v>
      </c>
      <c r="P20" t="n">
        <v>0</v>
      </c>
      <c r="Q20" t="n">
        <v>13</v>
      </c>
      <c r="R20" t="n">
        <v>3</v>
      </c>
      <c r="S20" t="n">
        <v>16</v>
      </c>
      <c r="T20" t="n">
        <v>20</v>
      </c>
      <c r="U20" t="n">
        <v>20</v>
      </c>
      <c r="V20" s="2" t="inlineStr">
        <is>
          <t>Fläckporing
Garnlav
Gräddporing
Blanksvart spiklav
Dvärgbägarlav
Grå blåbärsfältmätare
Mörk kolflarnlav
Talltagel
Talltita
Vedflamlav
Vedskivlav
Vitplätt
Älg
Tjäder
Vanlig groda
Revlummer</t>
        </is>
      </c>
      <c r="W20">
        <f>HYPERLINK("https://klasma.github.io/Logging_2506/artfynd/A 24892-2026 artfynd.xlsx", "A 24892-2026")</f>
        <v/>
      </c>
      <c r="X20">
        <f>HYPERLINK("https://klasma.github.io/Logging_2506/kartor/A 24892-2026 karta.png", "A 24892-2026")</f>
        <v/>
      </c>
      <c r="Y20">
        <f>HYPERLINK("https://klasma.github.io/Logging_2506/kartor_geotiff/A 24892-2026 georefererad karta.tif", "A 24892-2026")</f>
        <v/>
      </c>
      <c r="AA20">
        <f>HYPERLINK("https://klasma.github.io/Logging_2506/klagomål/A 24892-2026 FSC-klagomål.docx", "A 24892-2026")</f>
        <v/>
      </c>
      <c r="AB20">
        <f>HYPERLINK("https://klasma.github.io/Logging_2506/klagomålsmail/A 24892-2026 FSC-klagomål mail.docx", "A 24892-2026")</f>
        <v/>
      </c>
      <c r="AC20">
        <f>HYPERLINK("https://klasma.github.io/Logging_2506/tillsyn/A 24892-2026 tillsynsbegäran.docx", "A 24892-2026")</f>
        <v/>
      </c>
      <c r="AD20">
        <f>HYPERLINK("https://klasma.github.io/Logging_2506/tillsynsmail/A 24892-2026 tillsynsbegäran mail.docx", "A 24892-2026")</f>
        <v/>
      </c>
      <c r="AE20">
        <f>HYPERLINK("https://klasma.github.io/Logging_2506/fåglar/A 24892-2026 prioriterade fågelarter.docx", "A 24892-2026")</f>
        <v/>
      </c>
    </row>
    <row r="21" ht="15" customHeight="1">
      <c r="A21" t="inlineStr">
        <is>
          <t>A 2256-2025</t>
        </is>
      </c>
      <c r="B21" t="inlineStr">
        <is>
          <t>avverkningsanmälan</t>
        </is>
      </c>
      <c r="C21" t="inlineStr">
        <is>
          <t>Avverkning för annat ändamål</t>
        </is>
      </c>
      <c r="D21" s="1" t="n">
        <v>45671</v>
      </c>
      <c r="E21" s="1" t="n">
        <v>46284</v>
      </c>
      <c r="F21" t="inlineStr">
        <is>
          <t>NORRBOTTENS LÄN</t>
        </is>
      </c>
      <c r="G21" t="inlineStr">
        <is>
          <t>ARJEPLOG</t>
        </is>
      </c>
      <c r="H21" t="inlineStr">
        <is>
          <t>Övriga statliga verk och myndigheter</t>
        </is>
      </c>
      <c r="I21" t="n">
        <v>17.9</v>
      </c>
      <c r="J21" t="n">
        <v>8</v>
      </c>
      <c r="K21" t="n">
        <v>4</v>
      </c>
      <c r="L21" t="n">
        <v>2</v>
      </c>
      <c r="M21" t="n">
        <v>1</v>
      </c>
      <c r="N21" t="n">
        <v>0</v>
      </c>
      <c r="O21" t="n">
        <v>0</v>
      </c>
      <c r="P21" t="n">
        <v>0</v>
      </c>
      <c r="Q21" t="n">
        <v>3</v>
      </c>
      <c r="R21" t="n">
        <v>1</v>
      </c>
      <c r="S21" t="n">
        <v>11</v>
      </c>
      <c r="T21" t="n">
        <v>31</v>
      </c>
      <c r="U21" t="n">
        <v>1</v>
      </c>
      <c r="V21" s="2" t="inlineStr">
        <is>
          <t>Hökuggla
Månlåsbräken
Nordlåsbräken
Gräsull
Grönkulla
Korallrot
Spindelblomster
Brudsporre
Dubbelnycklar
Fläcknycklar
Fjällummer</t>
        </is>
      </c>
      <c r="W21">
        <f>HYPERLINK("https://klasma.github.io/Logging_2506/artfynd/A 2256-2025 artfynd.xlsx", "A 2256-2025")</f>
        <v/>
      </c>
      <c r="X21">
        <f>HYPERLINK("https://klasma.github.io/Logging_2506/kartor/A 2256-2025 karta.png", "A 2256-2025")</f>
        <v/>
      </c>
      <c r="Y21">
        <f>HYPERLINK("https://klasma.github.io/Logging_2506/kartor_geotiff/A 2256-2025 georefererad karta.tif", "A 2256-2025")</f>
        <v/>
      </c>
      <c r="AA21">
        <f>HYPERLINK("https://klasma.github.io/Logging_2506/klagomål/A 2256-2025 FSC-klagomål.docx", "A 2256-2025")</f>
        <v/>
      </c>
      <c r="AB21">
        <f>HYPERLINK("https://klasma.github.io/Logging_2506/klagomålsmail/A 2256-2025 FSC-klagomål mail.docx", "A 2256-2025")</f>
        <v/>
      </c>
      <c r="AC21">
        <f>HYPERLINK("https://klasma.github.io/Logging_2506/tillsyn/A 2256-2025 tillsynsbegäran.docx", "A 2256-2025")</f>
        <v/>
      </c>
      <c r="AD21">
        <f>HYPERLINK("https://klasma.github.io/Logging_2506/tillsynsmail/A 2256-2025 tillsynsbegäran mail.docx", "A 2256-2025")</f>
        <v/>
      </c>
      <c r="AE21">
        <f>HYPERLINK("https://klasma.github.io/Logging_2506/fåglar/A 2256-2025 prioriterade fågelarter.docx", "A 2256-2025")</f>
        <v/>
      </c>
    </row>
    <row r="22" ht="15" customHeight="1">
      <c r="A22" t="inlineStr">
        <is>
          <t>A 45030-2023</t>
        </is>
      </c>
      <c r="B22" t="inlineStr">
        <is>
          <t>avverkningsanmälan</t>
        </is>
      </c>
      <c r="C22" t="inlineStr">
        <is>
          <t>Föryngringsavverkning</t>
        </is>
      </c>
      <c r="D22" s="1" t="n">
        <v>45190</v>
      </c>
      <c r="E22" s="1" t="n">
        <v>46284</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45031-2023</t>
        </is>
      </c>
      <c r="B23" t="inlineStr">
        <is>
          <t>avverkningsanmälan</t>
        </is>
      </c>
      <c r="C23" t="inlineStr">
        <is>
          <t>Föryngringsavverkning</t>
        </is>
      </c>
      <c r="D23" s="1" t="n">
        <v>45190</v>
      </c>
      <c r="E23" s="1" t="n">
        <v>46284</v>
      </c>
      <c r="F23" t="inlineStr">
        <is>
          <t>NORRBOTTENS LÄN</t>
        </is>
      </c>
      <c r="G23" t="inlineStr">
        <is>
          <t>ARJEPLOG</t>
        </is>
      </c>
      <c r="H23" t="inlineStr">
        <is>
          <t>Övriga statliga verk och myndigheter</t>
        </is>
      </c>
      <c r="I23" t="n">
        <v>10.3</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45031-2023 artfynd.xlsx", "A 45031-2023")</f>
        <v/>
      </c>
      <c r="X23">
        <f>HYPERLINK("https://klasma.github.io/Logging_2506/kartor/A 45031-2023 karta.png", "A 45031-2023")</f>
        <v/>
      </c>
      <c r="Y23">
        <f>HYPERLINK("https://klasma.github.io/Logging_2506/kartor_geotiff/A 45031-2023 georefererad karta.tif", "A 45031-2023")</f>
        <v/>
      </c>
      <c r="AA23">
        <f>HYPERLINK("https://klasma.github.io/Logging_2506/klagomål/A 45031-2023 FSC-klagomål.docx", "A 45031-2023")</f>
        <v/>
      </c>
      <c r="AB23">
        <f>HYPERLINK("https://klasma.github.io/Logging_2506/klagomålsmail/A 45031-2023 FSC-klagomål mail.docx", "A 45031-2023")</f>
        <v/>
      </c>
      <c r="AC23">
        <f>HYPERLINK("https://klasma.github.io/Logging_2506/tillsyn/A 45031-2023 tillsynsbegäran.docx", "A 45031-2023")</f>
        <v/>
      </c>
      <c r="AD23">
        <f>HYPERLINK("https://klasma.github.io/Logging_2506/tillsynsmail/A 45031-2023 tillsynsbegäran mail.docx", "A 45031-2023")</f>
        <v/>
      </c>
    </row>
    <row r="24" ht="15" customHeight="1">
      <c r="A24" t="inlineStr">
        <is>
          <t>A 45417-2024</t>
        </is>
      </c>
      <c r="B24" t="inlineStr">
        <is>
          <t>avverkningsanmälan</t>
        </is>
      </c>
      <c r="C24" t="inlineStr">
        <is>
          <t>Föryngringsavverkning</t>
        </is>
      </c>
      <c r="D24" s="1" t="n">
        <v>45576</v>
      </c>
      <c r="E24" s="1" t="n">
        <v>46284</v>
      </c>
      <c r="F24" t="inlineStr">
        <is>
          <t>NORRBOTTENS LÄN</t>
        </is>
      </c>
      <c r="G24" t="inlineStr">
        <is>
          <t>ARJEPLOG</t>
        </is>
      </c>
      <c r="I24" t="n">
        <v>11.5</v>
      </c>
      <c r="J24" t="n">
        <v>2</v>
      </c>
      <c r="K24" t="n">
        <v>0</v>
      </c>
      <c r="L24" t="n">
        <v>10</v>
      </c>
      <c r="M24" t="n">
        <v>0</v>
      </c>
      <c r="N24" t="n">
        <v>0</v>
      </c>
      <c r="O24" t="n">
        <v>0</v>
      </c>
      <c r="P24" t="n">
        <v>0</v>
      </c>
      <c r="Q24" t="n">
        <v>10</v>
      </c>
      <c r="R24" t="n">
        <v>0</v>
      </c>
      <c r="S24" t="n">
        <v>10</v>
      </c>
      <c r="T24" t="n">
        <v>20</v>
      </c>
      <c r="U24" t="n">
        <v>20</v>
      </c>
      <c r="V24" s="2" t="inlineStr">
        <is>
          <t>Blanksvart spiklav
Dvärgbägarlav
Knottrig blåslav
Kortskaftad ärgspik
Rosenticka
Talltita
Tretåig hackspett
Ullticka
Vedskivlav
Vedtrappmossa</t>
        </is>
      </c>
      <c r="W24">
        <f>HYPERLINK("https://klasma.github.io/Logging_2506/artfynd/A 45417-2024 artfynd.xlsx", "A 45417-2024")</f>
        <v/>
      </c>
      <c r="X24">
        <f>HYPERLINK("https://klasma.github.io/Logging_2506/kartor/A 45417-2024 karta.png", "A 45417-2024")</f>
        <v/>
      </c>
      <c r="Y24">
        <f>HYPERLINK("https://klasma.github.io/Logging_2506/kartor_geotiff/A 45417-2024 georefererad karta.tif", "A 45417-2024")</f>
        <v/>
      </c>
      <c r="AA24">
        <f>HYPERLINK("https://klasma.github.io/Logging_2506/klagomål/A 45417-2024 FSC-klagomål.docx", "A 45417-2024")</f>
        <v/>
      </c>
      <c r="AB24">
        <f>HYPERLINK("https://klasma.github.io/Logging_2506/klagomålsmail/A 45417-2024 FSC-klagomål mail.docx", "A 45417-2024")</f>
        <v/>
      </c>
      <c r="AC24">
        <f>HYPERLINK("https://klasma.github.io/Logging_2506/tillsyn/A 45417-2024 tillsynsbegäran.docx", "A 45417-2024")</f>
        <v/>
      </c>
      <c r="AD24">
        <f>HYPERLINK("https://klasma.github.io/Logging_2506/tillsynsmail/A 45417-2024 tillsynsbegäran mail.docx", "A 45417-2024")</f>
        <v/>
      </c>
      <c r="AE24">
        <f>HYPERLINK("https://klasma.github.io/Logging_2506/fåglar/A 45417-2024 prioriterade fågelarter.docx", "A 45417-2024")</f>
        <v/>
      </c>
    </row>
    <row r="25" ht="15" customHeight="1">
      <c r="A25" t="inlineStr">
        <is>
          <t>A 1474-2026</t>
        </is>
      </c>
      <c r="B25" t="inlineStr">
        <is>
          <t>avverkningsanmälan</t>
        </is>
      </c>
      <c r="C25" t="inlineStr">
        <is>
          <t>Föryngringsavverkning</t>
        </is>
      </c>
      <c r="D25" s="1" t="n">
        <v>46033</v>
      </c>
      <c r="E25" s="1" t="n">
        <v>46284</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1479-2026</t>
        </is>
      </c>
      <c r="B26" t="inlineStr">
        <is>
          <t>avverkningsanmälan</t>
        </is>
      </c>
      <c r="C26" t="inlineStr">
        <is>
          <t>Föryngringsavverkning</t>
        </is>
      </c>
      <c r="D26" s="1" t="n">
        <v>46033</v>
      </c>
      <c r="E26" s="1" t="n">
        <v>46284</v>
      </c>
      <c r="F26" t="inlineStr">
        <is>
          <t>NORRBOTTENS LÄN</t>
        </is>
      </c>
      <c r="G26" t="inlineStr">
        <is>
          <t>ARJEPLOG</t>
        </is>
      </c>
      <c r="H26" t="inlineStr">
        <is>
          <t>Övriga statliga verk och myndigheter</t>
        </is>
      </c>
      <c r="I26" t="n">
        <v>10</v>
      </c>
      <c r="J26" t="n">
        <v>1</v>
      </c>
      <c r="K26" t="n">
        <v>2</v>
      </c>
      <c r="L26" t="n">
        <v>4</v>
      </c>
      <c r="M26" t="n">
        <v>4</v>
      </c>
      <c r="N26" t="n">
        <v>0</v>
      </c>
      <c r="O26" t="n">
        <v>0</v>
      </c>
      <c r="P26" t="n">
        <v>0</v>
      </c>
      <c r="Q26" t="n">
        <v>8</v>
      </c>
      <c r="R26" t="n">
        <v>4</v>
      </c>
      <c r="S26" t="n">
        <v>10</v>
      </c>
      <c r="T26" t="n">
        <v>16</v>
      </c>
      <c r="U26" t="n">
        <v>14</v>
      </c>
      <c r="V26" s="2" t="inlineStr">
        <is>
          <t>Garnlav
Gränsticka
Sprickporing
Vitskaftad svartspik
Gammelgransskål
Rosenticka
Ullticka
Vitgrynig nållav
Spindelblomster
Ögonpyrola</t>
        </is>
      </c>
      <c r="W26">
        <f>HYPERLINK("https://klasma.github.io/Logging_2506/artfynd/A 1479-2026 artfynd.xlsx", "A 1479-2026")</f>
        <v/>
      </c>
      <c r="X26">
        <f>HYPERLINK("https://klasma.github.io/Logging_2506/kartor/A 1479-2026 karta.png", "A 1479-2026")</f>
        <v/>
      </c>
      <c r="Y26">
        <f>HYPERLINK("https://klasma.github.io/Logging_2506/kartor_geotiff/A 1479-2026 georefererad karta.tif", "A 1479-2026")</f>
        <v/>
      </c>
      <c r="AA26">
        <f>HYPERLINK("https://klasma.github.io/Logging_2506/klagomål/A 1479-2026 FSC-klagomål.docx", "A 1479-2026")</f>
        <v/>
      </c>
      <c r="AB26">
        <f>HYPERLINK("https://klasma.github.io/Logging_2506/klagomålsmail/A 1479-2026 FSC-klagomål mail.docx", "A 1479-2026")</f>
        <v/>
      </c>
      <c r="AC26">
        <f>HYPERLINK("https://klasma.github.io/Logging_2506/tillsyn/A 1479-2026 tillsynsbegäran.docx", "A 1479-2026")</f>
        <v/>
      </c>
      <c r="AD26">
        <f>HYPERLINK("https://klasma.github.io/Logging_2506/tillsynsmail/A 1479-2026 tillsynsbegäran mail.docx", "A 1479-2026")</f>
        <v/>
      </c>
    </row>
    <row r="27" ht="15" customHeight="1">
      <c r="A27" t="inlineStr">
        <is>
          <t>A 31143-2025</t>
        </is>
      </c>
      <c r="B27" t="inlineStr">
        <is>
          <t>avverkningsanmälan</t>
        </is>
      </c>
      <c r="C27" t="inlineStr">
        <is>
          <t>Föryngringsavverkning</t>
        </is>
      </c>
      <c r="D27" s="1" t="n">
        <v>45831</v>
      </c>
      <c r="E27" s="1" t="n">
        <v>46284</v>
      </c>
      <c r="F27" t="inlineStr">
        <is>
          <t>NORRBOTTENS LÄN</t>
        </is>
      </c>
      <c r="G27" t="inlineStr">
        <is>
          <t>ARJEPLOG</t>
        </is>
      </c>
      <c r="I27" t="n">
        <v>16.4</v>
      </c>
      <c r="J27" t="n">
        <v>2</v>
      </c>
      <c r="K27" t="n">
        <v>0</v>
      </c>
      <c r="L27" t="n">
        <v>6</v>
      </c>
      <c r="M27" t="n">
        <v>3</v>
      </c>
      <c r="N27" t="n">
        <v>0</v>
      </c>
      <c r="O27" t="n">
        <v>0</v>
      </c>
      <c r="P27" t="n">
        <v>0</v>
      </c>
      <c r="Q27" t="n">
        <v>9</v>
      </c>
      <c r="R27" t="n">
        <v>3</v>
      </c>
      <c r="S27" t="n">
        <v>9</v>
      </c>
      <c r="T27" t="n">
        <v>25</v>
      </c>
      <c r="U27" t="n">
        <v>25</v>
      </c>
      <c r="V27" s="2" t="inlineStr">
        <is>
          <t>Fläckporing
Garnlav
Gränsticka
Knottrig blåslav
Rosenticka
Talltita
Tretåig hackspett
Vedskivlav
Vitgrynig nållav</t>
        </is>
      </c>
      <c r="W27">
        <f>HYPERLINK("https://klasma.github.io/Logging_2506/artfynd/A 31143-2025 artfynd.xlsx", "A 31143-2025")</f>
        <v/>
      </c>
      <c r="X27">
        <f>HYPERLINK("https://klasma.github.io/Logging_2506/kartor/A 31143-2025 karta.png", "A 31143-2025")</f>
        <v/>
      </c>
      <c r="Y27">
        <f>HYPERLINK("https://klasma.github.io/Logging_2506/kartor_geotiff/A 31143-2025 georefererad karta.tif", "A 31143-2025")</f>
        <v/>
      </c>
      <c r="AA27">
        <f>HYPERLINK("https://klasma.github.io/Logging_2506/klagomål/A 31143-2025 FSC-klagomål.docx", "A 31143-2025")</f>
        <v/>
      </c>
      <c r="AB27">
        <f>HYPERLINK("https://klasma.github.io/Logging_2506/klagomålsmail/A 31143-2025 FSC-klagomål mail.docx", "A 31143-2025")</f>
        <v/>
      </c>
      <c r="AC27">
        <f>HYPERLINK("https://klasma.github.io/Logging_2506/tillsyn/A 31143-2025 tillsynsbegäran.docx", "A 31143-2025")</f>
        <v/>
      </c>
      <c r="AD27">
        <f>HYPERLINK("https://klasma.github.io/Logging_2506/tillsynsmail/A 31143-2025 tillsynsbegäran mail.docx", "A 31143-2025")</f>
        <v/>
      </c>
      <c r="AE27">
        <f>HYPERLINK("https://klasma.github.io/Logging_2506/fåglar/A 31143-2025 prioriterade fågelarter.docx", "A 31143-2025")</f>
        <v/>
      </c>
    </row>
    <row r="28" ht="15" customHeight="1">
      <c r="A28" t="inlineStr">
        <is>
          <t>A 45032-2023</t>
        </is>
      </c>
      <c r="B28" t="inlineStr">
        <is>
          <t>avverkningsanmälan</t>
        </is>
      </c>
      <c r="C28" t="inlineStr">
        <is>
          <t>Föryngringsavverkning</t>
        </is>
      </c>
      <c r="D28" s="1" t="n">
        <v>45190</v>
      </c>
      <c r="E28" s="1" t="n">
        <v>46284</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46284</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4544-2024</t>
        </is>
      </c>
      <c r="B30" t="inlineStr">
        <is>
          <t>avverkningsanmälan</t>
        </is>
      </c>
      <c r="C30" t="inlineStr">
        <is>
          <t>Föryngringsavverkning</t>
        </is>
      </c>
      <c r="D30" s="1" t="n">
        <v>45327</v>
      </c>
      <c r="E30" s="1" t="n">
        <v>46284</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28351-2025</t>
        </is>
      </c>
      <c r="B31" t="inlineStr">
        <is>
          <t>avverkningsanmälan</t>
        </is>
      </c>
      <c r="C31" t="inlineStr">
        <is>
          <t>Föryngringsavverkning</t>
        </is>
      </c>
      <c r="D31" s="1" t="n">
        <v>45818</v>
      </c>
      <c r="E31" s="1" t="n">
        <v>46284</v>
      </c>
      <c r="F31" t="inlineStr">
        <is>
          <t>NORRBOTTENS LÄN</t>
        </is>
      </c>
      <c r="G31" t="inlineStr">
        <is>
          <t>ARJEPLOG</t>
        </is>
      </c>
      <c r="I31" t="n">
        <v>5.4</v>
      </c>
      <c r="J31" t="n">
        <v>0</v>
      </c>
      <c r="K31" t="n">
        <v>0</v>
      </c>
      <c r="L31" t="n">
        <v>6</v>
      </c>
      <c r="M31" t="n">
        <v>2</v>
      </c>
      <c r="N31" t="n">
        <v>0</v>
      </c>
      <c r="O31" t="n">
        <v>0</v>
      </c>
      <c r="P31" t="n">
        <v>0</v>
      </c>
      <c r="Q31" t="n">
        <v>8</v>
      </c>
      <c r="R31" t="n">
        <v>2</v>
      </c>
      <c r="S31" t="n">
        <v>8</v>
      </c>
      <c r="T31" t="n">
        <v>13</v>
      </c>
      <c r="U31" t="n">
        <v>13</v>
      </c>
      <c r="V31" s="2" t="inlineStr">
        <is>
          <t>Fläckporing
Garnlav
Blanksvart spiklav
Dropptaggsvamp
Dvärgbägarlav
Ullticka
Vedflamlav
Vedskivlav</t>
        </is>
      </c>
      <c r="W31">
        <f>HYPERLINK("https://klasma.github.io/Logging_2506/artfynd/A 28351-2025 artfynd.xlsx", "A 28351-2025")</f>
        <v/>
      </c>
      <c r="X31">
        <f>HYPERLINK("https://klasma.github.io/Logging_2506/kartor/A 28351-2025 karta.png", "A 28351-2025")</f>
        <v/>
      </c>
      <c r="Y31">
        <f>HYPERLINK("https://klasma.github.io/Logging_2506/kartor_geotiff/A 28351-2025 georefererad karta.tif", "A 28351-2025")</f>
        <v/>
      </c>
      <c r="AA31">
        <f>HYPERLINK("https://klasma.github.io/Logging_2506/klagomål/A 28351-2025 FSC-klagomål.docx", "A 28351-2025")</f>
        <v/>
      </c>
      <c r="AB31">
        <f>HYPERLINK("https://klasma.github.io/Logging_2506/klagomålsmail/A 28351-2025 FSC-klagomål mail.docx", "A 28351-2025")</f>
        <v/>
      </c>
      <c r="AC31">
        <f>HYPERLINK("https://klasma.github.io/Logging_2506/tillsyn/A 28351-2025 tillsynsbegäran.docx", "A 28351-2025")</f>
        <v/>
      </c>
      <c r="AD31">
        <f>HYPERLINK("https://klasma.github.io/Logging_2506/tillsynsmail/A 28351-2025 tillsynsbegäran mail.docx", "A 28351-2025")</f>
        <v/>
      </c>
    </row>
    <row r="32" ht="15" customHeight="1">
      <c r="A32" t="inlineStr">
        <is>
          <t>A 1478-2026</t>
        </is>
      </c>
      <c r="B32" t="inlineStr">
        <is>
          <t>avverkningsanmälan</t>
        </is>
      </c>
      <c r="C32" t="inlineStr">
        <is>
          <t>Föryngringsavverkning</t>
        </is>
      </c>
      <c r="D32" s="1" t="n">
        <v>46033</v>
      </c>
      <c r="E32" s="1" t="n">
        <v>46284</v>
      </c>
      <c r="F32" t="inlineStr">
        <is>
          <t>NORRBOTTENS LÄN</t>
        </is>
      </c>
      <c r="G32" t="inlineStr">
        <is>
          <t>ARJEPLOG</t>
        </is>
      </c>
      <c r="H32" t="inlineStr">
        <is>
          <t>Övriga statliga verk och myndigheter</t>
        </is>
      </c>
      <c r="I32" t="n">
        <v>6.2</v>
      </c>
      <c r="J32" t="n">
        <v>1</v>
      </c>
      <c r="K32" t="n">
        <v>0</v>
      </c>
      <c r="L32" t="n">
        <v>6</v>
      </c>
      <c r="M32" t="n">
        <v>2</v>
      </c>
      <c r="N32" t="n">
        <v>0</v>
      </c>
      <c r="O32" t="n">
        <v>0</v>
      </c>
      <c r="P32" t="n">
        <v>0</v>
      </c>
      <c r="Q32" t="n">
        <v>8</v>
      </c>
      <c r="R32" t="n">
        <v>2</v>
      </c>
      <c r="S32" t="n">
        <v>8</v>
      </c>
      <c r="T32" t="n">
        <v>9</v>
      </c>
      <c r="U32" t="n">
        <v>7</v>
      </c>
      <c r="V32" s="2" t="inlineStr">
        <is>
          <t>Gränsticka
Vitskaftad svartspik
Gammelgransskål
Harticka
Knottrig blåslav
Tretåig hackspett
Vedtrappmossa
Vitgrynig nållav</t>
        </is>
      </c>
      <c r="W32">
        <f>HYPERLINK("https://klasma.github.io/Logging_2506/artfynd/A 1478-2026 artfynd.xlsx", "A 1478-2026")</f>
        <v/>
      </c>
      <c r="X32">
        <f>HYPERLINK("https://klasma.github.io/Logging_2506/kartor/A 1478-2026 karta.png", "A 1478-2026")</f>
        <v/>
      </c>
      <c r="Y32">
        <f>HYPERLINK("https://klasma.github.io/Logging_2506/kartor_geotiff/A 1478-2026 georefererad karta.tif", "A 1478-2026")</f>
        <v/>
      </c>
      <c r="AA32">
        <f>HYPERLINK("https://klasma.github.io/Logging_2506/klagomål/A 1478-2026 FSC-klagomål.docx", "A 1478-2026")</f>
        <v/>
      </c>
      <c r="AB32">
        <f>HYPERLINK("https://klasma.github.io/Logging_2506/klagomålsmail/A 1478-2026 FSC-klagomål mail.docx", "A 1478-2026")</f>
        <v/>
      </c>
      <c r="AC32">
        <f>HYPERLINK("https://klasma.github.io/Logging_2506/tillsyn/A 1478-2026 tillsynsbegäran.docx", "A 1478-2026")</f>
        <v/>
      </c>
      <c r="AD32">
        <f>HYPERLINK("https://klasma.github.io/Logging_2506/tillsynsmail/A 1478-2026 tillsynsbegäran mail.docx", "A 1478-2026")</f>
        <v/>
      </c>
      <c r="AE32">
        <f>HYPERLINK("https://klasma.github.io/Logging_2506/fåglar/A 1478-2026 prioriterade fågelarter.docx", "A 1478-2026")</f>
        <v/>
      </c>
    </row>
    <row r="33" ht="15" customHeight="1">
      <c r="A33" t="inlineStr">
        <is>
          <t>A 49079-2025</t>
        </is>
      </c>
      <c r="B33" t="inlineStr">
        <is>
          <t>avverkningsanmälan</t>
        </is>
      </c>
      <c r="C33" t="inlineStr">
        <is>
          <t>Föryngringsavverkning</t>
        </is>
      </c>
      <c r="D33" s="1" t="n">
        <v>45937</v>
      </c>
      <c r="E33" s="1" t="n">
        <v>46284</v>
      </c>
      <c r="F33" t="inlineStr">
        <is>
          <t>NORRBOTTENS LÄN</t>
        </is>
      </c>
      <c r="G33" t="inlineStr">
        <is>
          <t>ARJEPLOG</t>
        </is>
      </c>
      <c r="H33" t="inlineStr">
        <is>
          <t>Sveaskog</t>
        </is>
      </c>
      <c r="I33" t="n">
        <v>24.7</v>
      </c>
      <c r="J33" t="n">
        <v>5</v>
      </c>
      <c r="K33" t="n">
        <v>2</v>
      </c>
      <c r="L33" t="n">
        <v>1</v>
      </c>
      <c r="M33" t="n">
        <v>1</v>
      </c>
      <c r="N33" t="n">
        <v>0</v>
      </c>
      <c r="O33" t="n">
        <v>0</v>
      </c>
      <c r="P33" t="n">
        <v>0</v>
      </c>
      <c r="Q33" t="n">
        <v>2</v>
      </c>
      <c r="R33" t="n">
        <v>1</v>
      </c>
      <c r="S33" t="n">
        <v>6</v>
      </c>
      <c r="T33" t="n">
        <v>6</v>
      </c>
      <c r="U33" t="n">
        <v>0</v>
      </c>
      <c r="V33" s="2" t="inlineStr">
        <is>
          <t>Doftticka
Lunglav
Plattlummer
Spindelblomster
Mattlummer
Revlummer</t>
        </is>
      </c>
      <c r="W33">
        <f>HYPERLINK("https://klasma.github.io/Logging_2506/artfynd/A 49079-2025 artfynd.xlsx", "A 49079-2025")</f>
        <v/>
      </c>
      <c r="X33">
        <f>HYPERLINK("https://klasma.github.io/Logging_2506/kartor/A 49079-2025 karta.png", "A 49079-2025")</f>
        <v/>
      </c>
      <c r="Y33">
        <f>HYPERLINK("https://klasma.github.io/Logging_2506/kartor_geotiff/A 49079-2025 georefererad karta.tif", "A 49079-2025")</f>
        <v/>
      </c>
      <c r="AA33">
        <f>HYPERLINK("https://klasma.github.io/Logging_2506/klagomål/A 49079-2025 FSC-klagomål.docx", "A 49079-2025")</f>
        <v/>
      </c>
      <c r="AB33">
        <f>HYPERLINK("https://klasma.github.io/Logging_2506/klagomålsmail/A 49079-2025 FSC-klagomål mail.docx", "A 49079-2025")</f>
        <v/>
      </c>
      <c r="AC33">
        <f>HYPERLINK("https://klasma.github.io/Logging_2506/tillsyn/A 49079-2025 tillsynsbegäran.docx", "A 49079-2025")</f>
        <v/>
      </c>
      <c r="AD33">
        <f>HYPERLINK("https://klasma.github.io/Logging_2506/tillsynsmail/A 49079-2025 tillsynsbegäran mail.docx", "A 49079-2025")</f>
        <v/>
      </c>
    </row>
    <row r="34" ht="15" customHeight="1">
      <c r="A34" t="inlineStr">
        <is>
          <t>A 59199-2021</t>
        </is>
      </c>
      <c r="B34" t="inlineStr">
        <is>
          <t>avverkningsanmälan</t>
        </is>
      </c>
      <c r="C34" t="inlineStr">
        <is>
          <t>Föryngringsavverkning</t>
        </is>
      </c>
      <c r="D34" s="1" t="n">
        <v>44490</v>
      </c>
      <c r="E34" s="1" t="n">
        <v>46284</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25229-2023</t>
        </is>
      </c>
      <c r="B35" t="inlineStr">
        <is>
          <t>avverkningsanmälan</t>
        </is>
      </c>
      <c r="C35" t="inlineStr">
        <is>
          <t>Föryngringsavverkning</t>
        </is>
      </c>
      <c r="D35" s="1" t="n">
        <v>45079</v>
      </c>
      <c r="E35" s="1" t="n">
        <v>46284</v>
      </c>
      <c r="F35" t="inlineStr">
        <is>
          <t>NORRBOTTENS LÄN</t>
        </is>
      </c>
      <c r="G35" t="inlineStr">
        <is>
          <t>ARJEPLOG</t>
        </is>
      </c>
      <c r="H35" t="inlineStr">
        <is>
          <t>Övriga statliga verk och myndigheter</t>
        </is>
      </c>
      <c r="I35" t="n">
        <v>18.2</v>
      </c>
      <c r="J35" t="n">
        <v>1</v>
      </c>
      <c r="K35" t="n">
        <v>0</v>
      </c>
      <c r="L35" t="n">
        <v>4</v>
      </c>
      <c r="M35" t="n">
        <v>1</v>
      </c>
      <c r="N35" t="n">
        <v>0</v>
      </c>
      <c r="O35" t="n">
        <v>0</v>
      </c>
      <c r="P35" t="n">
        <v>0</v>
      </c>
      <c r="Q35" t="n">
        <v>5</v>
      </c>
      <c r="R35" t="n">
        <v>1</v>
      </c>
      <c r="S35" t="n">
        <v>5</v>
      </c>
      <c r="T35" t="n">
        <v>5</v>
      </c>
      <c r="U35" t="n">
        <v>0</v>
      </c>
      <c r="V35" s="2" t="inlineStr">
        <is>
          <t>Ostticka
Gammelgransskål
Rosenticka
Rödbrun blekspik
Tretåig hackspett</t>
        </is>
      </c>
      <c r="W35">
        <f>HYPERLINK("https://klasma.github.io/Logging_2506/artfynd/A 25229-2023 artfynd.xlsx", "A 25229-2023")</f>
        <v/>
      </c>
      <c r="X35">
        <f>HYPERLINK("https://klasma.github.io/Logging_2506/kartor/A 25229-2023 karta.png", "A 25229-2023")</f>
        <v/>
      </c>
      <c r="Y35">
        <f>HYPERLINK("https://klasma.github.io/Logging_2506/kartor_geotiff/A 25229-2023 georefererad karta.tif", "A 25229-2023")</f>
        <v/>
      </c>
      <c r="AA35">
        <f>HYPERLINK("https://klasma.github.io/Logging_2506/klagomål/A 25229-2023 FSC-klagomål.docx", "A 25229-2023")</f>
        <v/>
      </c>
      <c r="AB35">
        <f>HYPERLINK("https://klasma.github.io/Logging_2506/klagomålsmail/A 25229-2023 FSC-klagomål mail.docx", "A 25229-2023")</f>
        <v/>
      </c>
      <c r="AC35">
        <f>HYPERLINK("https://klasma.github.io/Logging_2506/tillsyn/A 25229-2023 tillsynsbegäran.docx", "A 25229-2023")</f>
        <v/>
      </c>
      <c r="AD35">
        <f>HYPERLINK("https://klasma.github.io/Logging_2506/tillsynsmail/A 25229-2023 tillsynsbegäran mail.docx", "A 25229-2023")</f>
        <v/>
      </c>
      <c r="AE35">
        <f>HYPERLINK("https://klasma.github.io/Logging_2506/fåglar/A 25229-2023 prioriterade fågelarter.docx", "A 25229-2023")</f>
        <v/>
      </c>
    </row>
    <row r="36" ht="15" customHeight="1">
      <c r="A36" t="inlineStr">
        <is>
          <t>A 64803-2023</t>
        </is>
      </c>
      <c r="B36" t="inlineStr">
        <is>
          <t>avverkningsanmälan</t>
        </is>
      </c>
      <c r="C36" t="inlineStr">
        <is>
          <t>Föryngringsavverkning</t>
        </is>
      </c>
      <c r="D36" s="1" t="n">
        <v>45281</v>
      </c>
      <c r="E36" s="1" t="n">
        <v>46284</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12403-2025</t>
        </is>
      </c>
      <c r="B37" t="inlineStr">
        <is>
          <t>avverkningsanmälan</t>
        </is>
      </c>
      <c r="C37" t="inlineStr">
        <is>
          <t>Föryngringsavverkning</t>
        </is>
      </c>
      <c r="D37" s="1" t="n">
        <v>45730</v>
      </c>
      <c r="E37" s="1" t="n">
        <v>46284</v>
      </c>
      <c r="F37" t="inlineStr">
        <is>
          <t>NORRBOTTENS LÄN</t>
        </is>
      </c>
      <c r="G37" t="inlineStr">
        <is>
          <t>ARJEPLOG</t>
        </is>
      </c>
      <c r="I37" t="n">
        <v>10.1</v>
      </c>
      <c r="J37" t="n">
        <v>1</v>
      </c>
      <c r="K37" t="n">
        <v>0</v>
      </c>
      <c r="L37" t="n">
        <v>3</v>
      </c>
      <c r="M37" t="n">
        <v>1</v>
      </c>
      <c r="N37" t="n">
        <v>0</v>
      </c>
      <c r="O37" t="n">
        <v>0</v>
      </c>
      <c r="P37" t="n">
        <v>0</v>
      </c>
      <c r="Q37" t="n">
        <v>4</v>
      </c>
      <c r="R37" t="n">
        <v>1</v>
      </c>
      <c r="S37" t="n">
        <v>4</v>
      </c>
      <c r="T37" t="n">
        <v>9</v>
      </c>
      <c r="U37" t="n">
        <v>9</v>
      </c>
      <c r="V37" s="2" t="inlineStr">
        <is>
          <t>Garnlav
Harticka
Tretåig hackspett
Vedskivlav</t>
        </is>
      </c>
      <c r="W37">
        <f>HYPERLINK("https://klasma.github.io/Logging_2506/artfynd/A 12403-2025 artfynd.xlsx", "A 12403-2025")</f>
        <v/>
      </c>
      <c r="X37">
        <f>HYPERLINK("https://klasma.github.io/Logging_2506/kartor/A 12403-2025 karta.png", "A 12403-2025")</f>
        <v/>
      </c>
      <c r="Y37">
        <f>HYPERLINK("https://klasma.github.io/Logging_2506/kartor_geotiff/A 12403-2025 georefererad karta.tif", "A 12403-2025")</f>
        <v/>
      </c>
      <c r="AA37">
        <f>HYPERLINK("https://klasma.github.io/Logging_2506/klagomål/A 12403-2025 FSC-klagomål.docx", "A 12403-2025")</f>
        <v/>
      </c>
      <c r="AB37">
        <f>HYPERLINK("https://klasma.github.io/Logging_2506/klagomålsmail/A 12403-2025 FSC-klagomål mail.docx", "A 12403-2025")</f>
        <v/>
      </c>
      <c r="AC37">
        <f>HYPERLINK("https://klasma.github.io/Logging_2506/tillsyn/A 12403-2025 tillsynsbegäran.docx", "A 12403-2025")</f>
        <v/>
      </c>
      <c r="AD37">
        <f>HYPERLINK("https://klasma.github.io/Logging_2506/tillsynsmail/A 12403-2025 tillsynsbegäran mail.docx", "A 12403-2025")</f>
        <v/>
      </c>
      <c r="AE37">
        <f>HYPERLINK("https://klasma.github.io/Logging_2506/fåglar/A 12403-2025 prioriterade fågelarter.docx", "A 12403-2025")</f>
        <v/>
      </c>
    </row>
    <row r="38" ht="15" customHeight="1">
      <c r="A38" t="inlineStr">
        <is>
          <t>A 15171-2022</t>
        </is>
      </c>
      <c r="B38" t="inlineStr">
        <is>
          <t>avverkningsanmälan</t>
        </is>
      </c>
      <c r="C38" t="inlineStr">
        <is>
          <t>Föryngringsavverkning</t>
        </is>
      </c>
      <c r="D38" s="1" t="n">
        <v>44658</v>
      </c>
      <c r="E38" s="1" t="n">
        <v>46284</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26143-2024</t>
        </is>
      </c>
      <c r="B39" t="inlineStr">
        <is>
          <t>avverkningsanmälan</t>
        </is>
      </c>
      <c r="C39" t="inlineStr">
        <is>
          <t>Föryngringsavverkning</t>
        </is>
      </c>
      <c r="D39" s="1" t="n">
        <v>45467</v>
      </c>
      <c r="E39" s="1" t="n">
        <v>46284</v>
      </c>
      <c r="F39" t="inlineStr">
        <is>
          <t>NORRBOTTENS LÄN</t>
        </is>
      </c>
      <c r="G39" t="inlineStr">
        <is>
          <t>ARJEPLOG</t>
        </is>
      </c>
      <c r="I39" t="n">
        <v>8.1</v>
      </c>
      <c r="J39" t="n">
        <v>0</v>
      </c>
      <c r="K39" t="n">
        <v>1</v>
      </c>
      <c r="L39" t="n">
        <v>2</v>
      </c>
      <c r="M39" t="n">
        <v>0</v>
      </c>
      <c r="N39" t="n">
        <v>0</v>
      </c>
      <c r="O39" t="n">
        <v>0</v>
      </c>
      <c r="P39" t="n">
        <v>0</v>
      </c>
      <c r="Q39" t="n">
        <v>2</v>
      </c>
      <c r="R39" t="n">
        <v>0</v>
      </c>
      <c r="S39" t="n">
        <v>3</v>
      </c>
      <c r="T39" t="n">
        <v>3</v>
      </c>
      <c r="U39" t="n">
        <v>3</v>
      </c>
      <c r="V39" s="2" t="inlineStr">
        <is>
          <t>Blanksvart spiklav
Knottrig blåslav
Vedticka</t>
        </is>
      </c>
      <c r="W39">
        <f>HYPERLINK("https://klasma.github.io/Logging_2506/artfynd/A 26143-2024 artfynd.xlsx", "A 26143-2024")</f>
        <v/>
      </c>
      <c r="X39">
        <f>HYPERLINK("https://klasma.github.io/Logging_2506/kartor/A 26143-2024 karta.png", "A 26143-2024")</f>
        <v/>
      </c>
      <c r="Y39">
        <f>HYPERLINK("https://klasma.github.io/Logging_2506/kartor_geotiff/A 26143-2024 georefererad karta.tif", "A 26143-2024")</f>
        <v/>
      </c>
      <c r="AA39">
        <f>HYPERLINK("https://klasma.github.io/Logging_2506/klagomål/A 26143-2024 FSC-klagomål.docx", "A 26143-2024")</f>
        <v/>
      </c>
      <c r="AB39">
        <f>HYPERLINK("https://klasma.github.io/Logging_2506/klagomålsmail/A 26143-2024 FSC-klagomål mail.docx", "A 26143-2024")</f>
        <v/>
      </c>
      <c r="AC39">
        <f>HYPERLINK("https://klasma.github.io/Logging_2506/tillsyn/A 26143-2024 tillsynsbegäran.docx", "A 26143-2024")</f>
        <v/>
      </c>
      <c r="AD39">
        <f>HYPERLINK("https://klasma.github.io/Logging_2506/tillsynsmail/A 26143-2024 tillsynsbegäran mail.docx", "A 26143-2024")</f>
        <v/>
      </c>
    </row>
    <row r="40" ht="15" customHeight="1">
      <c r="A40" t="inlineStr">
        <is>
          <t>A 10525-2024</t>
        </is>
      </c>
      <c r="B40" t="inlineStr">
        <is>
          <t>avverkningsanmälan</t>
        </is>
      </c>
      <c r="C40" t="inlineStr">
        <is>
          <t>Föryngringsavverkning</t>
        </is>
      </c>
      <c r="D40" s="1" t="n">
        <v>45366</v>
      </c>
      <c r="E40" s="1" t="n">
        <v>46284</v>
      </c>
      <c r="F40" t="inlineStr">
        <is>
          <t>NORRBOTTENS LÄN</t>
        </is>
      </c>
      <c r="G40" t="inlineStr">
        <is>
          <t>ARJEPLOG</t>
        </is>
      </c>
      <c r="I40" t="n">
        <v>15.5</v>
      </c>
      <c r="J40" t="n">
        <v>2</v>
      </c>
      <c r="K40" t="n">
        <v>3</v>
      </c>
      <c r="L40" t="n">
        <v>0</v>
      </c>
      <c r="M40" t="n">
        <v>0</v>
      </c>
      <c r="N40" t="n">
        <v>0</v>
      </c>
      <c r="O40" t="n">
        <v>0</v>
      </c>
      <c r="P40" t="n">
        <v>0</v>
      </c>
      <c r="Q40" t="n">
        <v>0</v>
      </c>
      <c r="R40" t="n">
        <v>0</v>
      </c>
      <c r="S40" t="n">
        <v>3</v>
      </c>
      <c r="T40" t="n">
        <v>4</v>
      </c>
      <c r="U40" t="n">
        <v>0</v>
      </c>
      <c r="V40" s="2" t="inlineStr">
        <is>
          <t>Korallrot
Spindelblomster
Ögonpyrola</t>
        </is>
      </c>
      <c r="W40">
        <f>HYPERLINK("https://klasma.github.io/Logging_2506/artfynd/A 10525-2024 artfynd.xlsx", "A 10525-2024")</f>
        <v/>
      </c>
      <c r="X40">
        <f>HYPERLINK("https://klasma.github.io/Logging_2506/kartor/A 10525-2024 karta.png", "A 10525-2024")</f>
        <v/>
      </c>
      <c r="Y40">
        <f>HYPERLINK("https://klasma.github.io/Logging_2506/kartor_geotiff/A 10525-2024 georefererad karta.tif", "A 10525-2024")</f>
        <v/>
      </c>
      <c r="AA40">
        <f>HYPERLINK("https://klasma.github.io/Logging_2506/klagomål/A 10525-2024 FSC-klagomål.docx", "A 10525-2024")</f>
        <v/>
      </c>
      <c r="AB40">
        <f>HYPERLINK("https://klasma.github.io/Logging_2506/klagomålsmail/A 10525-2024 FSC-klagomål mail.docx", "A 10525-2024")</f>
        <v/>
      </c>
      <c r="AC40">
        <f>HYPERLINK("https://klasma.github.io/Logging_2506/tillsyn/A 10525-2024 tillsynsbegäran.docx", "A 10525-2024")</f>
        <v/>
      </c>
      <c r="AD40">
        <f>HYPERLINK("https://klasma.github.io/Logging_2506/tillsynsmail/A 10525-2024 tillsynsbegäran mail.docx", "A 10525-2024")</f>
        <v/>
      </c>
    </row>
    <row r="41" ht="15" customHeight="1">
      <c r="A41" t="inlineStr">
        <is>
          <t>A 36564-2026</t>
        </is>
      </c>
      <c r="B41" t="inlineStr">
        <is>
          <t>avverkningsanmälan</t>
        </is>
      </c>
      <c r="C41" t="inlineStr">
        <is>
          <t>Föryngringsavverkning</t>
        </is>
      </c>
      <c r="D41" s="1" t="n">
        <v>46269</v>
      </c>
      <c r="E41" s="1" t="n">
        <v>46284</v>
      </c>
      <c r="F41" t="inlineStr">
        <is>
          <t>NORRBOTTENS LÄN</t>
        </is>
      </c>
      <c r="G41" t="inlineStr">
        <is>
          <t>ARJEPLOG</t>
        </is>
      </c>
      <c r="H41" t="inlineStr">
        <is>
          <t>Sveaskog</t>
        </is>
      </c>
      <c r="I41" t="n">
        <v>21.5</v>
      </c>
      <c r="J41" t="n">
        <v>0</v>
      </c>
      <c r="K41" t="n">
        <v>1</v>
      </c>
      <c r="L41" t="n">
        <v>2</v>
      </c>
      <c r="M41" t="n">
        <v>0</v>
      </c>
      <c r="N41" t="n">
        <v>0</v>
      </c>
      <c r="O41" t="n">
        <v>0</v>
      </c>
      <c r="P41" t="n">
        <v>0</v>
      </c>
      <c r="Q41" t="n">
        <v>2</v>
      </c>
      <c r="R41" t="n">
        <v>0</v>
      </c>
      <c r="S41" t="n">
        <v>3</v>
      </c>
      <c r="T41" t="n">
        <v>5</v>
      </c>
      <c r="U41" t="n">
        <v>0</v>
      </c>
      <c r="V41" s="2" t="inlineStr">
        <is>
          <t>Blå taggsvamp
Kolflarnlav
Stuplav</t>
        </is>
      </c>
      <c r="W41">
        <f>HYPERLINK("https://klasma.github.io/Logging_2506/artfynd/A 36564-2026 artfynd.xlsx", "A 36564-2026")</f>
        <v/>
      </c>
      <c r="X41">
        <f>HYPERLINK("https://klasma.github.io/Logging_2506/kartor/A 36564-2026 karta.png", "A 36564-2026")</f>
        <v/>
      </c>
      <c r="Y41">
        <f>HYPERLINK("https://klasma.github.io/Logging_2506/kartor_geotiff/A 36564-2026 georefererad karta.tif", "A 36564-2026")</f>
        <v/>
      </c>
      <c r="AA41">
        <f>HYPERLINK("https://klasma.github.io/Logging_2506/klagomål/A 36564-2026 FSC-klagomål.docx", "A 36564-2026")</f>
        <v/>
      </c>
      <c r="AB41">
        <f>HYPERLINK("https://klasma.github.io/Logging_2506/klagomålsmail/A 36564-2026 FSC-klagomål mail.docx", "A 36564-2026")</f>
        <v/>
      </c>
      <c r="AC41">
        <f>HYPERLINK("https://klasma.github.io/Logging_2506/tillsyn/A 36564-2026 tillsynsbegäran.docx", "A 36564-2026")</f>
        <v/>
      </c>
      <c r="AD41">
        <f>HYPERLINK("https://klasma.github.io/Logging_2506/tillsynsmail/A 36564-2026 tillsynsbegäran mail.docx", "A 36564-2026")</f>
        <v/>
      </c>
    </row>
    <row r="42" ht="15" customHeight="1">
      <c r="A42" t="inlineStr">
        <is>
          <t>A 41375-2024</t>
        </is>
      </c>
      <c r="B42" t="inlineStr">
        <is>
          <t>avverkningsanmälan</t>
        </is>
      </c>
      <c r="C42" t="inlineStr">
        <is>
          <t>Avverkning för annat ändamål</t>
        </is>
      </c>
      <c r="D42" s="1" t="n">
        <v>45559</v>
      </c>
      <c r="E42" s="1" t="n">
        <v>46284</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45324-2022</t>
        </is>
      </c>
      <c r="B43" t="inlineStr">
        <is>
          <t>avverkningsanmälan</t>
        </is>
      </c>
      <c r="C43" t="inlineStr">
        <is>
          <t>Föryngringsavverkning</t>
        </is>
      </c>
      <c r="D43" s="1" t="n">
        <v>44841</v>
      </c>
      <c r="E43" s="1" t="n">
        <v>46284</v>
      </c>
      <c r="F43" t="inlineStr">
        <is>
          <t>NORRBOTTENS LÄN</t>
        </is>
      </c>
      <c r="G43" t="inlineStr">
        <is>
          <t>ARJEPLOG</t>
        </is>
      </c>
      <c r="I43" t="n">
        <v>23.2</v>
      </c>
      <c r="J43" t="n">
        <v>2</v>
      </c>
      <c r="K43" t="n">
        <v>0</v>
      </c>
      <c r="L43" t="n">
        <v>0</v>
      </c>
      <c r="M43" t="n">
        <v>1</v>
      </c>
      <c r="N43" t="n">
        <v>0</v>
      </c>
      <c r="O43" t="n">
        <v>0</v>
      </c>
      <c r="P43" t="n">
        <v>0</v>
      </c>
      <c r="Q43" t="n">
        <v>1</v>
      </c>
      <c r="R43" t="n">
        <v>1</v>
      </c>
      <c r="S43" t="n">
        <v>2</v>
      </c>
      <c r="T43" t="n">
        <v>2</v>
      </c>
      <c r="U43" t="n">
        <v>0</v>
      </c>
      <c r="V43" s="2" t="inlineStr">
        <is>
          <t>Bergand
Sångsvan</t>
        </is>
      </c>
      <c r="W43">
        <f>HYPERLINK("https://klasma.github.io/Logging_2506/artfynd/A 45324-2022 artfynd.xlsx", "A 45324-2022")</f>
        <v/>
      </c>
      <c r="X43">
        <f>HYPERLINK("https://klasma.github.io/Logging_2506/kartor/A 45324-2022 karta.png", "A 45324-2022")</f>
        <v/>
      </c>
      <c r="Y43">
        <f>HYPERLINK("https://klasma.github.io/Logging_2506/kartor_geotiff/A 45324-2022 georefererad karta.tif", "A 45324-2022")</f>
        <v/>
      </c>
      <c r="AA43">
        <f>HYPERLINK("https://klasma.github.io/Logging_2506/klagomål/A 45324-2022 FSC-klagomål.docx", "A 45324-2022")</f>
        <v/>
      </c>
      <c r="AB43">
        <f>HYPERLINK("https://klasma.github.io/Logging_2506/klagomålsmail/A 45324-2022 FSC-klagomål mail.docx", "A 45324-2022")</f>
        <v/>
      </c>
      <c r="AC43">
        <f>HYPERLINK("https://klasma.github.io/Logging_2506/tillsyn/A 45324-2022 tillsynsbegäran.docx", "A 45324-2022")</f>
        <v/>
      </c>
      <c r="AD43">
        <f>HYPERLINK("https://klasma.github.io/Logging_2506/tillsynsmail/A 45324-2022 tillsynsbegäran mail.docx", "A 45324-2022")</f>
        <v/>
      </c>
      <c r="AE43">
        <f>HYPERLINK("https://klasma.github.io/Logging_2506/fåglar/A 45324-2022 prioriterade fågelarter.docx", "A 45324-2022")</f>
        <v/>
      </c>
    </row>
    <row r="44" ht="15" customHeight="1">
      <c r="A44" t="inlineStr">
        <is>
          <t>A 12789-2022</t>
        </is>
      </c>
      <c r="B44" t="inlineStr">
        <is>
          <t>avverkningsanmälan</t>
        </is>
      </c>
      <c r="C44" t="inlineStr">
        <is>
          <t>Föryngringsavverkning</t>
        </is>
      </c>
      <c r="D44" s="1" t="n">
        <v>44642</v>
      </c>
      <c r="E44" s="1" t="n">
        <v>46284</v>
      </c>
      <c r="F44" t="inlineStr">
        <is>
          <t>NORRBOTTENS LÄN</t>
        </is>
      </c>
      <c r="G44" t="inlineStr">
        <is>
          <t>ARJEPLOG</t>
        </is>
      </c>
      <c r="H44" t="inlineStr">
        <is>
          <t>Övriga statliga verk och myndigheter</t>
        </is>
      </c>
      <c r="I44" t="n">
        <v>56.1</v>
      </c>
      <c r="J44" t="n">
        <v>0</v>
      </c>
      <c r="K44" t="n">
        <v>0</v>
      </c>
      <c r="L44" t="n">
        <v>1</v>
      </c>
      <c r="M44" t="n">
        <v>0</v>
      </c>
      <c r="N44" t="n">
        <v>0</v>
      </c>
      <c r="O44" t="n">
        <v>0</v>
      </c>
      <c r="P44" t="n">
        <v>0</v>
      </c>
      <c r="Q44" t="n">
        <v>1</v>
      </c>
      <c r="R44" t="n">
        <v>0</v>
      </c>
      <c r="S44" t="n">
        <v>1</v>
      </c>
      <c r="T44" t="n">
        <v>1</v>
      </c>
      <c r="U44" t="n">
        <v>0</v>
      </c>
      <c r="V44" s="2" t="inlineStr">
        <is>
          <t>Dvärgbägarlav</t>
        </is>
      </c>
      <c r="W44">
        <f>HYPERLINK("https://klasma.github.io/Logging_2506/artfynd/A 12789-2022 artfynd.xlsx", "A 12789-2022")</f>
        <v/>
      </c>
      <c r="X44">
        <f>HYPERLINK("https://klasma.github.io/Logging_2506/kartor/A 12789-2022 karta.png", "A 12789-2022")</f>
        <v/>
      </c>
      <c r="Y44">
        <f>HYPERLINK("https://klasma.github.io/Logging_2506/kartor_geotiff/A 12789-2022 georefererad karta.tif", "A 12789-2022")</f>
        <v/>
      </c>
      <c r="AA44">
        <f>HYPERLINK("https://klasma.github.io/Logging_2506/klagomål/A 12789-2022 FSC-klagomål.docx", "A 12789-2022")</f>
        <v/>
      </c>
      <c r="AB44">
        <f>HYPERLINK("https://klasma.github.io/Logging_2506/klagomålsmail/A 12789-2022 FSC-klagomål mail.docx", "A 12789-2022")</f>
        <v/>
      </c>
      <c r="AC44">
        <f>HYPERLINK("https://klasma.github.io/Logging_2506/tillsyn/A 12789-2022 tillsynsbegäran.docx", "A 12789-2022")</f>
        <v/>
      </c>
      <c r="AD44">
        <f>HYPERLINK("https://klasma.github.io/Logging_2506/tillsynsmail/A 12789-2022 tillsynsbegäran mail.docx", "A 12789-2022")</f>
        <v/>
      </c>
    </row>
    <row r="45" ht="15" customHeight="1">
      <c r="A45" t="inlineStr">
        <is>
          <t>A 20905-2025</t>
        </is>
      </c>
      <c r="B45" t="inlineStr">
        <is>
          <t>avverkningsanmälan</t>
        </is>
      </c>
      <c r="C45" t="inlineStr">
        <is>
          <t>Föryngringsavverkning</t>
        </is>
      </c>
      <c r="D45" s="1" t="n">
        <v>45777</v>
      </c>
      <c r="E45" s="1" t="n">
        <v>46284</v>
      </c>
      <c r="F45" t="inlineStr">
        <is>
          <t>NORRBOTTENS LÄN</t>
        </is>
      </c>
      <c r="G45" t="inlineStr">
        <is>
          <t>ARJEPLOG</t>
        </is>
      </c>
      <c r="I45" t="n">
        <v>10.6</v>
      </c>
      <c r="J45" t="n">
        <v>0</v>
      </c>
      <c r="K45" t="n">
        <v>0</v>
      </c>
      <c r="L45" t="n">
        <v>1</v>
      </c>
      <c r="M45" t="n">
        <v>0</v>
      </c>
      <c r="N45" t="n">
        <v>0</v>
      </c>
      <c r="O45" t="n">
        <v>0</v>
      </c>
      <c r="P45" t="n">
        <v>0</v>
      </c>
      <c r="Q45" t="n">
        <v>1</v>
      </c>
      <c r="R45" t="n">
        <v>0</v>
      </c>
      <c r="S45" t="n">
        <v>1</v>
      </c>
      <c r="T45" t="n">
        <v>1</v>
      </c>
      <c r="U45" t="n">
        <v>0</v>
      </c>
      <c r="V45" s="2" t="inlineStr">
        <is>
          <t>Vitfläckig guldvinge</t>
        </is>
      </c>
      <c r="W45">
        <f>HYPERLINK("https://klasma.github.io/Logging_2506/artfynd/A 20905-2025 artfynd.xlsx", "A 20905-2025")</f>
        <v/>
      </c>
      <c r="X45">
        <f>HYPERLINK("https://klasma.github.io/Logging_2506/kartor/A 20905-2025 karta.png", "A 20905-2025")</f>
        <v/>
      </c>
      <c r="Y45">
        <f>HYPERLINK("https://klasma.github.io/Logging_2506/kartor_geotiff/A 20905-2025 georefererad karta.tif", "A 20905-2025")</f>
        <v/>
      </c>
      <c r="AA45">
        <f>HYPERLINK("https://klasma.github.io/Logging_2506/klagomål/A 20905-2025 FSC-klagomål.docx", "A 20905-2025")</f>
        <v/>
      </c>
      <c r="AB45">
        <f>HYPERLINK("https://klasma.github.io/Logging_2506/klagomålsmail/A 20905-2025 FSC-klagomål mail.docx", "A 20905-2025")</f>
        <v/>
      </c>
      <c r="AC45">
        <f>HYPERLINK("https://klasma.github.io/Logging_2506/tillsyn/A 20905-2025 tillsynsbegäran.docx", "A 20905-2025")</f>
        <v/>
      </c>
      <c r="AD45">
        <f>HYPERLINK("https://klasma.github.io/Logging_2506/tillsynsmail/A 20905-2025 tillsynsbegäran mail.docx", "A 20905-2025")</f>
        <v/>
      </c>
    </row>
    <row r="46" ht="15" customHeight="1">
      <c r="A46" t="inlineStr">
        <is>
          <t>A 10476-2026</t>
        </is>
      </c>
      <c r="B46" t="inlineStr">
        <is>
          <t>avverkningsanmälan</t>
        </is>
      </c>
      <c r="C46" t="inlineStr">
        <is>
          <t>Föryngringsavverkning</t>
        </is>
      </c>
      <c r="D46" s="1" t="n">
        <v>46076</v>
      </c>
      <c r="E46" s="1" t="n">
        <v>46284</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17549-2023</t>
        </is>
      </c>
      <c r="B47" t="inlineStr">
        <is>
          <t>avverkningsanmälan</t>
        </is>
      </c>
      <c r="C47" t="inlineStr">
        <is>
          <t>Föryngringsavverkning</t>
        </is>
      </c>
      <c r="D47" s="1" t="n">
        <v>45034</v>
      </c>
      <c r="E47" s="1" t="n">
        <v>46284</v>
      </c>
      <c r="F47" t="inlineStr">
        <is>
          <t>NORRBOTTENS LÄN</t>
        </is>
      </c>
      <c r="G47" t="inlineStr">
        <is>
          <t>ARJEPLOG</t>
        </is>
      </c>
      <c r="I47" t="n">
        <v>18.8</v>
      </c>
      <c r="J47" t="n">
        <v>1</v>
      </c>
      <c r="K47" t="n">
        <v>0</v>
      </c>
      <c r="L47" t="n">
        <v>1</v>
      </c>
      <c r="M47" t="n">
        <v>0</v>
      </c>
      <c r="N47" t="n">
        <v>0</v>
      </c>
      <c r="O47" t="n">
        <v>0</v>
      </c>
      <c r="P47" t="n">
        <v>0</v>
      </c>
      <c r="Q47" t="n">
        <v>1</v>
      </c>
      <c r="R47" t="n">
        <v>0</v>
      </c>
      <c r="S47" t="n">
        <v>1</v>
      </c>
      <c r="T47" t="n">
        <v>1</v>
      </c>
      <c r="U47" t="n">
        <v>0</v>
      </c>
      <c r="V47" s="2" t="inlineStr">
        <is>
          <t>Tretåig hackspett</t>
        </is>
      </c>
      <c r="W47">
        <f>HYPERLINK("https://klasma.github.io/Logging_2506/artfynd/A 17549-2023 artfynd.xlsx", "A 17549-2023")</f>
        <v/>
      </c>
      <c r="X47">
        <f>HYPERLINK("https://klasma.github.io/Logging_2506/kartor/A 17549-2023 karta.png", "A 17549-2023")</f>
        <v/>
      </c>
      <c r="Y47">
        <f>HYPERLINK("https://klasma.github.io/Logging_2506/kartor_geotiff/A 17549-2023 georefererad karta.tif", "A 17549-2023")</f>
        <v/>
      </c>
      <c r="AA47">
        <f>HYPERLINK("https://klasma.github.io/Logging_2506/klagomål/A 17549-2023 FSC-klagomål.docx", "A 17549-2023")</f>
        <v/>
      </c>
      <c r="AB47">
        <f>HYPERLINK("https://klasma.github.io/Logging_2506/klagomålsmail/A 17549-2023 FSC-klagomål mail.docx", "A 17549-2023")</f>
        <v/>
      </c>
      <c r="AC47">
        <f>HYPERLINK("https://klasma.github.io/Logging_2506/tillsyn/A 17549-2023 tillsynsbegäran.docx", "A 17549-2023")</f>
        <v/>
      </c>
      <c r="AD47">
        <f>HYPERLINK("https://klasma.github.io/Logging_2506/tillsynsmail/A 17549-2023 tillsynsbegäran mail.docx", "A 17549-2023")</f>
        <v/>
      </c>
      <c r="AE47">
        <f>HYPERLINK("https://klasma.github.io/Logging_2506/fåglar/A 17549-2023 prioriterade fågelarter.docx", "A 17549-2023")</f>
        <v/>
      </c>
    </row>
    <row r="48" ht="15" customHeight="1">
      <c r="A48" t="inlineStr">
        <is>
          <t>A 25279-2023</t>
        </is>
      </c>
      <c r="B48" t="inlineStr">
        <is>
          <t>avverkningsanmälan</t>
        </is>
      </c>
      <c r="C48" t="inlineStr">
        <is>
          <t>Föryngringsavverkning</t>
        </is>
      </c>
      <c r="D48" s="1" t="n">
        <v>45079</v>
      </c>
      <c r="E48" s="1" t="n">
        <v>46284</v>
      </c>
      <c r="F48" t="inlineStr">
        <is>
          <t>NORRBOTTENS LÄN</t>
        </is>
      </c>
      <c r="G48" t="inlineStr">
        <is>
          <t>ARJEPLOG</t>
        </is>
      </c>
      <c r="H48" t="inlineStr">
        <is>
          <t>Övriga statliga verk och myndigheter</t>
        </is>
      </c>
      <c r="I48" t="n">
        <v>6.9</v>
      </c>
      <c r="J48" t="n">
        <v>1</v>
      </c>
      <c r="K48" t="n">
        <v>1</v>
      </c>
      <c r="L48" t="n">
        <v>0</v>
      </c>
      <c r="M48" t="n">
        <v>0</v>
      </c>
      <c r="N48" t="n">
        <v>0</v>
      </c>
      <c r="O48" t="n">
        <v>0</v>
      </c>
      <c r="P48" t="n">
        <v>0</v>
      </c>
      <c r="Q48" t="n">
        <v>0</v>
      </c>
      <c r="R48" t="n">
        <v>0</v>
      </c>
      <c r="S48" t="n">
        <v>1</v>
      </c>
      <c r="T48" t="n">
        <v>1</v>
      </c>
      <c r="U48" t="n">
        <v>0</v>
      </c>
      <c r="V48" s="2" t="inlineStr">
        <is>
          <t>Plattlummer</t>
        </is>
      </c>
      <c r="W48">
        <f>HYPERLINK("https://klasma.github.io/Logging_2506/artfynd/A 25279-2023 artfynd.xlsx", "A 25279-2023")</f>
        <v/>
      </c>
      <c r="X48">
        <f>HYPERLINK("https://klasma.github.io/Logging_2506/kartor/A 25279-2023 karta.png", "A 25279-2023")</f>
        <v/>
      </c>
      <c r="Y48">
        <f>HYPERLINK("https://klasma.github.io/Logging_2506/kartor_geotiff/A 25279-2023 georefererad karta.tif", "A 25279-2023")</f>
        <v/>
      </c>
      <c r="AA48">
        <f>HYPERLINK("https://klasma.github.io/Logging_2506/klagomål/A 25279-2023 FSC-klagomål.docx", "A 25279-2023")</f>
        <v/>
      </c>
      <c r="AB48">
        <f>HYPERLINK("https://klasma.github.io/Logging_2506/klagomålsmail/A 25279-2023 FSC-klagomål mail.docx", "A 25279-2023")</f>
        <v/>
      </c>
      <c r="AC48">
        <f>HYPERLINK("https://klasma.github.io/Logging_2506/tillsyn/A 25279-2023 tillsynsbegäran.docx", "A 25279-2023")</f>
        <v/>
      </c>
      <c r="AD48">
        <f>HYPERLINK("https://klasma.github.io/Logging_2506/tillsynsmail/A 25279-2023 tillsynsbegäran mail.docx", "A 25279-2023")</f>
        <v/>
      </c>
    </row>
    <row r="49" ht="15" customHeight="1">
      <c r="A49" t="inlineStr">
        <is>
          <t>A 66844-2021</t>
        </is>
      </c>
      <c r="B49" t="inlineStr">
        <is>
          <t>avverkningsanmälan</t>
        </is>
      </c>
      <c r="C49" t="inlineStr">
        <is>
          <t>Föryngringsavverkning</t>
        </is>
      </c>
      <c r="D49" s="1" t="n">
        <v>44520</v>
      </c>
      <c r="E49" s="1" t="n">
        <v>46284</v>
      </c>
      <c r="F49" t="inlineStr">
        <is>
          <t>NORRBOTTENS LÄN</t>
        </is>
      </c>
      <c r="G49" t="inlineStr">
        <is>
          <t>ARJEPLOG</t>
        </is>
      </c>
      <c r="I49" t="n">
        <v>44.8</v>
      </c>
      <c r="J49" t="n">
        <v>0</v>
      </c>
      <c r="K49" t="n">
        <v>0</v>
      </c>
      <c r="L49" t="n">
        <v>0</v>
      </c>
      <c r="M49" t="n">
        <v>0</v>
      </c>
      <c r="N49" t="n">
        <v>0</v>
      </c>
      <c r="O49" t="n">
        <v>0</v>
      </c>
      <c r="P49" t="n">
        <v>0</v>
      </c>
      <c r="Q49" t="n">
        <v>0</v>
      </c>
      <c r="R49" t="n">
        <v>0</v>
      </c>
      <c r="S49" t="n">
        <v>0</v>
      </c>
      <c r="T49" t="n">
        <v>0</v>
      </c>
      <c r="U49" t="n">
        <v>0</v>
      </c>
      <c r="V49" s="2" t="inlineStr"/>
    </row>
    <row r="50" ht="15" customHeight="1">
      <c r="A50" t="inlineStr">
        <is>
          <t>A 56274-2021</t>
        </is>
      </c>
      <c r="B50" t="inlineStr">
        <is>
          <t>avverkningsanmälan</t>
        </is>
      </c>
      <c r="C50" t="inlineStr">
        <is>
          <t>Föryngringsavverkning</t>
        </is>
      </c>
      <c r="D50" s="1" t="n">
        <v>44479</v>
      </c>
      <c r="E50" s="1" t="n">
        <v>46284</v>
      </c>
      <c r="F50" t="inlineStr">
        <is>
          <t>NORRBOTTENS LÄN</t>
        </is>
      </c>
      <c r="G50" t="inlineStr">
        <is>
          <t>ARJEPLOG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56275-2021</t>
        </is>
      </c>
      <c r="B51" t="inlineStr">
        <is>
          <t>avverkningsanmälan</t>
        </is>
      </c>
      <c r="C51" t="inlineStr">
        <is>
          <t>Föryngringsavverkning</t>
        </is>
      </c>
      <c r="D51" s="1" t="n">
        <v>44479</v>
      </c>
      <c r="E51" s="1" t="n">
        <v>46284</v>
      </c>
      <c r="F51" t="inlineStr">
        <is>
          <t>NORRBOTTENS LÄN</t>
        </is>
      </c>
      <c r="G51" t="inlineStr">
        <is>
          <t>ARJEPLOG</t>
        </is>
      </c>
      <c r="I51" t="n">
        <v>16.2</v>
      </c>
      <c r="J51" t="n">
        <v>0</v>
      </c>
      <c r="K51" t="n">
        <v>0</v>
      </c>
      <c r="L51" t="n">
        <v>0</v>
      </c>
      <c r="M51" t="n">
        <v>0</v>
      </c>
      <c r="N51" t="n">
        <v>0</v>
      </c>
      <c r="O51" t="n">
        <v>0</v>
      </c>
      <c r="P51" t="n">
        <v>0</v>
      </c>
      <c r="Q51" t="n">
        <v>0</v>
      </c>
      <c r="R51" t="n">
        <v>0</v>
      </c>
      <c r="S51" t="n">
        <v>0</v>
      </c>
      <c r="T51" t="n">
        <v>0</v>
      </c>
      <c r="U51" t="n">
        <v>0</v>
      </c>
      <c r="V51" s="2" t="inlineStr"/>
    </row>
    <row r="52" ht="15" customHeight="1">
      <c r="A52" t="inlineStr">
        <is>
          <t>A 56277-2021</t>
        </is>
      </c>
      <c r="B52" t="inlineStr">
        <is>
          <t>avverkningsanmälan</t>
        </is>
      </c>
      <c r="C52" t="inlineStr">
        <is>
          <t>Avverkning för annat ändamål</t>
        </is>
      </c>
      <c r="D52" s="1" t="n">
        <v>44479</v>
      </c>
      <c r="E52" s="1" t="n">
        <v>46284</v>
      </c>
      <c r="F52" t="inlineStr">
        <is>
          <t>NORRBOTTENS LÄN</t>
        </is>
      </c>
      <c r="G52" t="inlineStr">
        <is>
          <t>ARJEPLOG</t>
        </is>
      </c>
      <c r="I52" t="n">
        <v>19.4</v>
      </c>
      <c r="J52" t="n">
        <v>0</v>
      </c>
      <c r="K52" t="n">
        <v>0</v>
      </c>
      <c r="L52" t="n">
        <v>0</v>
      </c>
      <c r="M52" t="n">
        <v>0</v>
      </c>
      <c r="N52" t="n">
        <v>0</v>
      </c>
      <c r="O52" t="n">
        <v>0</v>
      </c>
      <c r="P52" t="n">
        <v>0</v>
      </c>
      <c r="Q52" t="n">
        <v>0</v>
      </c>
      <c r="R52" t="n">
        <v>0</v>
      </c>
      <c r="S52" t="n">
        <v>0</v>
      </c>
      <c r="T52" t="n">
        <v>0</v>
      </c>
      <c r="U52" t="n">
        <v>0</v>
      </c>
      <c r="V52" s="2" t="inlineStr"/>
    </row>
    <row r="53" ht="15" customHeight="1">
      <c r="A53" t="inlineStr">
        <is>
          <t>A 44751-2022</t>
        </is>
      </c>
      <c r="B53" t="inlineStr">
        <is>
          <t>avverkningsanmälan</t>
        </is>
      </c>
      <c r="C53" t="inlineStr">
        <is>
          <t>Föryngringsavverkning</t>
        </is>
      </c>
      <c r="D53" s="1" t="n">
        <v>44840</v>
      </c>
      <c r="E53" s="1" t="n">
        <v>46284</v>
      </c>
      <c r="F53" t="inlineStr">
        <is>
          <t>NORRBOTTENS LÄN</t>
        </is>
      </c>
      <c r="G53" t="inlineStr">
        <is>
          <t>ARJEPLOG</t>
        </is>
      </c>
      <c r="H53" t="inlineStr">
        <is>
          <t>SCA</t>
        </is>
      </c>
      <c r="I53" t="n">
        <v>26.1</v>
      </c>
      <c r="J53" t="n">
        <v>0</v>
      </c>
      <c r="K53" t="n">
        <v>0</v>
      </c>
      <c r="L53" t="n">
        <v>0</v>
      </c>
      <c r="M53" t="n">
        <v>0</v>
      </c>
      <c r="N53" t="n">
        <v>0</v>
      </c>
      <c r="O53" t="n">
        <v>0</v>
      </c>
      <c r="P53" t="n">
        <v>0</v>
      </c>
      <c r="Q53" t="n">
        <v>0</v>
      </c>
      <c r="R53" t="n">
        <v>0</v>
      </c>
      <c r="S53" t="n">
        <v>0</v>
      </c>
      <c r="T53" t="n">
        <v>0</v>
      </c>
      <c r="U53" t="n">
        <v>0</v>
      </c>
      <c r="V53" s="2" t="inlineStr"/>
    </row>
    <row r="54" ht="15" customHeight="1">
      <c r="A54" t="inlineStr">
        <is>
          <t>A 56278-2021</t>
        </is>
      </c>
      <c r="B54" t="inlineStr">
        <is>
          <t>avverkningsanmälan</t>
        </is>
      </c>
      <c r="C54" t="inlineStr">
        <is>
          <t>Föryngringsavverkning</t>
        </is>
      </c>
      <c r="D54" s="1" t="n">
        <v>44479</v>
      </c>
      <c r="E54" s="1" t="n">
        <v>46284</v>
      </c>
      <c r="F54" t="inlineStr">
        <is>
          <t>NORRBOTTENS LÄN</t>
        </is>
      </c>
      <c r="G54" t="inlineStr">
        <is>
          <t>ARJEPLOG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52573-2022</t>
        </is>
      </c>
      <c r="B55" t="inlineStr">
        <is>
          <t>avverkningsanmälan</t>
        </is>
      </c>
      <c r="C55" t="inlineStr">
        <is>
          <t>Föryngringsavverkning</t>
        </is>
      </c>
      <c r="D55" s="1" t="n">
        <v>44874</v>
      </c>
      <c r="E55" s="1" t="n">
        <v>46284</v>
      </c>
      <c r="F55" t="inlineStr">
        <is>
          <t>NORRBOTTENS LÄN</t>
        </is>
      </c>
      <c r="G55" t="inlineStr">
        <is>
          <t>ARJEPLOG</t>
        </is>
      </c>
      <c r="I55" t="n">
        <v>7.7</v>
      </c>
      <c r="J55" t="n">
        <v>0</v>
      </c>
      <c r="K55" t="n">
        <v>0</v>
      </c>
      <c r="L55" t="n">
        <v>0</v>
      </c>
      <c r="M55" t="n">
        <v>0</v>
      </c>
      <c r="N55" t="n">
        <v>0</v>
      </c>
      <c r="O55" t="n">
        <v>0</v>
      </c>
      <c r="P55" t="n">
        <v>0</v>
      </c>
      <c r="Q55" t="n">
        <v>0</v>
      </c>
      <c r="R55" t="n">
        <v>0</v>
      </c>
      <c r="S55" t="n">
        <v>0</v>
      </c>
      <c r="T55" t="n">
        <v>0</v>
      </c>
      <c r="U55" t="n">
        <v>0</v>
      </c>
      <c r="V55" s="2" t="inlineStr"/>
    </row>
    <row r="56" ht="15" customHeight="1">
      <c r="A56" t="inlineStr">
        <is>
          <t>A 19620-2022</t>
        </is>
      </c>
      <c r="B56" t="inlineStr">
        <is>
          <t>avverkningsanmälan</t>
        </is>
      </c>
      <c r="C56" t="inlineStr">
        <is>
          <t>Avverkning för annat ändamål</t>
        </is>
      </c>
      <c r="D56" s="1" t="n">
        <v>44694</v>
      </c>
      <c r="E56" s="1" t="n">
        <v>46284</v>
      </c>
      <c r="F56" t="inlineStr">
        <is>
          <t>NORRBOTTENS LÄN</t>
        </is>
      </c>
      <c r="G56" t="inlineStr">
        <is>
          <t>ARJEPLOG</t>
        </is>
      </c>
      <c r="H56" t="inlineStr">
        <is>
          <t>Sveaskog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72279-2021</t>
        </is>
      </c>
      <c r="B57" t="inlineStr">
        <is>
          <t>avverkningsanmälan</t>
        </is>
      </c>
      <c r="C57" t="inlineStr">
        <is>
          <t>Avverkning för annat ändamål</t>
        </is>
      </c>
      <c r="D57" s="1" t="n">
        <v>44543</v>
      </c>
      <c r="E57" s="1" t="n">
        <v>46284</v>
      </c>
      <c r="F57" t="inlineStr">
        <is>
          <t>NORRBOTTENS LÄN</t>
        </is>
      </c>
      <c r="G57" t="inlineStr">
        <is>
          <t>ARJEPLOG</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58879-2021</t>
        </is>
      </c>
      <c r="B58" t="inlineStr">
        <is>
          <t>avverkningsanmälan</t>
        </is>
      </c>
      <c r="C58" t="inlineStr">
        <is>
          <t>Föryngringsavverkning</t>
        </is>
      </c>
      <c r="D58" s="1" t="n">
        <v>44489</v>
      </c>
      <c r="E58" s="1" t="n">
        <v>46284</v>
      </c>
      <c r="F58" t="inlineStr">
        <is>
          <t>NORRBOTTENS LÄN</t>
        </is>
      </c>
      <c r="G58" t="inlineStr">
        <is>
          <t>ARJEPLOG</t>
        </is>
      </c>
      <c r="I58" t="n">
        <v>8</v>
      </c>
      <c r="J58" t="n">
        <v>0</v>
      </c>
      <c r="K58" t="n">
        <v>0</v>
      </c>
      <c r="L58" t="n">
        <v>0</v>
      </c>
      <c r="M58" t="n">
        <v>0</v>
      </c>
      <c r="N58" t="n">
        <v>0</v>
      </c>
      <c r="O58" t="n">
        <v>0</v>
      </c>
      <c r="P58" t="n">
        <v>0</v>
      </c>
      <c r="Q58" t="n">
        <v>0</v>
      </c>
      <c r="R58" t="n">
        <v>0</v>
      </c>
      <c r="S58" t="n">
        <v>0</v>
      </c>
      <c r="T58" t="n">
        <v>0</v>
      </c>
      <c r="U58" t="n">
        <v>0</v>
      </c>
      <c r="V58" s="2" t="inlineStr"/>
    </row>
    <row r="59" ht="15" customHeight="1">
      <c r="A59" t="inlineStr">
        <is>
          <t>A 46910-2024</t>
        </is>
      </c>
      <c r="B59" t="inlineStr">
        <is>
          <t>avverkningsanmälan</t>
        </is>
      </c>
      <c r="C59" t="inlineStr">
        <is>
          <t>Föryngringsavverkning</t>
        </is>
      </c>
      <c r="D59" s="1" t="n">
        <v>45583</v>
      </c>
      <c r="E59" s="1" t="n">
        <v>46284</v>
      </c>
      <c r="F59" t="inlineStr">
        <is>
          <t>NORRBOTTENS LÄN</t>
        </is>
      </c>
      <c r="G59" t="inlineStr">
        <is>
          <t>ARJEPLOG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55124-2024</t>
        </is>
      </c>
      <c r="B60" t="inlineStr">
        <is>
          <t>avverkningsanmälan</t>
        </is>
      </c>
      <c r="C60" t="inlineStr">
        <is>
          <t>Föryngringsavverkning</t>
        </is>
      </c>
      <c r="D60" s="1" t="n">
        <v>45618</v>
      </c>
      <c r="E60" s="1" t="n">
        <v>46284</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t="n">
        <v>0</v>
      </c>
      <c r="V60" s="2" t="inlineStr"/>
    </row>
    <row r="61" ht="15" customHeight="1">
      <c r="A61" t="inlineStr">
        <is>
          <t>A 55422-2021</t>
        </is>
      </c>
      <c r="B61" t="inlineStr">
        <is>
          <t>avverkningsanmälan</t>
        </is>
      </c>
      <c r="C61" t="inlineStr">
        <is>
          <t>Avverkning för annat ändamål</t>
        </is>
      </c>
      <c r="D61" s="1" t="n">
        <v>44475</v>
      </c>
      <c r="E61" s="1" t="n">
        <v>46284</v>
      </c>
      <c r="F61" t="inlineStr">
        <is>
          <t>NORRBOTTENS LÄN</t>
        </is>
      </c>
      <c r="G61" t="inlineStr">
        <is>
          <t>ARJEPLOG</t>
        </is>
      </c>
      <c r="H61" t="inlineStr">
        <is>
          <t>Sveaskog</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55266-2024</t>
        </is>
      </c>
      <c r="B62" t="inlineStr">
        <is>
          <t>avverkningsanmälan</t>
        </is>
      </c>
      <c r="C62" t="inlineStr">
        <is>
          <t>Föryngringsavverkning</t>
        </is>
      </c>
      <c r="D62" s="1" t="n">
        <v>45621</v>
      </c>
      <c r="E62" s="1" t="n">
        <v>46284</v>
      </c>
      <c r="F62" t="inlineStr">
        <is>
          <t>NORRBOTTENS LÄN</t>
        </is>
      </c>
      <c r="G62" t="inlineStr">
        <is>
          <t>ARJEPLOG</t>
        </is>
      </c>
      <c r="I62" t="n">
        <v>11.3</v>
      </c>
      <c r="J62" t="n">
        <v>0</v>
      </c>
      <c r="K62" t="n">
        <v>0</v>
      </c>
      <c r="L62" t="n">
        <v>0</v>
      </c>
      <c r="M62" t="n">
        <v>0</v>
      </c>
      <c r="N62" t="n">
        <v>0</v>
      </c>
      <c r="O62" t="n">
        <v>0</v>
      </c>
      <c r="P62" t="n">
        <v>0</v>
      </c>
      <c r="Q62" t="n">
        <v>0</v>
      </c>
      <c r="R62" t="n">
        <v>0</v>
      </c>
      <c r="S62" t="n">
        <v>0</v>
      </c>
      <c r="T62" t="n">
        <v>0</v>
      </c>
      <c r="U62" t="n">
        <v>0</v>
      </c>
      <c r="V62" s="2" t="inlineStr"/>
    </row>
    <row r="63" ht="15" customHeight="1">
      <c r="A63" t="inlineStr">
        <is>
          <t>A 45072-2023</t>
        </is>
      </c>
      <c r="B63" t="inlineStr">
        <is>
          <t>avverkningsanmälan</t>
        </is>
      </c>
      <c r="C63" t="inlineStr">
        <is>
          <t>Föryngringsavverkning</t>
        </is>
      </c>
      <c r="D63" s="1" t="n">
        <v>45187</v>
      </c>
      <c r="E63" s="1" t="n">
        <v>46284</v>
      </c>
      <c r="F63" t="inlineStr">
        <is>
          <t>NORRBOTTENS LÄN</t>
        </is>
      </c>
      <c r="G63" t="inlineStr">
        <is>
          <t>ARJEPLOG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58370-2023</t>
        </is>
      </c>
      <c r="B64" t="inlineStr">
        <is>
          <t>avverkningsanmälan</t>
        </is>
      </c>
      <c r="C64" t="inlineStr">
        <is>
          <t>Avverkning för att bevara och utveckla /försöksver</t>
        </is>
      </c>
      <c r="D64" s="1" t="n">
        <v>45250</v>
      </c>
      <c r="E64" s="1" t="n">
        <v>46284</v>
      </c>
      <c r="F64" t="inlineStr">
        <is>
          <t>NORRBOTTENS LÄN</t>
        </is>
      </c>
      <c r="G64" t="inlineStr">
        <is>
          <t>ARJEPLOG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3006-2024</t>
        </is>
      </c>
      <c r="B65" t="inlineStr">
        <is>
          <t>avverkningsanmälan</t>
        </is>
      </c>
      <c r="C65" t="inlineStr">
        <is>
          <t>Föryngringsavverkning</t>
        </is>
      </c>
      <c r="D65" s="1" t="n">
        <v>45315</v>
      </c>
      <c r="E65" s="1" t="n">
        <v>46284</v>
      </c>
      <c r="F65" t="inlineStr">
        <is>
          <t>NORRBOTTENS LÄN</t>
        </is>
      </c>
      <c r="G65" t="inlineStr">
        <is>
          <t>ARJEPLOG</t>
        </is>
      </c>
      <c r="I65" t="n">
        <v>9.1</v>
      </c>
      <c r="J65" t="n">
        <v>0</v>
      </c>
      <c r="K65" t="n">
        <v>0</v>
      </c>
      <c r="L65" t="n">
        <v>0</v>
      </c>
      <c r="M65" t="n">
        <v>0</v>
      </c>
      <c r="N65" t="n">
        <v>0</v>
      </c>
      <c r="O65" t="n">
        <v>0</v>
      </c>
      <c r="P65" t="n">
        <v>0</v>
      </c>
      <c r="Q65" t="n">
        <v>0</v>
      </c>
      <c r="R65" t="n">
        <v>0</v>
      </c>
      <c r="S65" t="n">
        <v>0</v>
      </c>
      <c r="T65" t="n">
        <v>0</v>
      </c>
      <c r="U65" t="n">
        <v>0</v>
      </c>
      <c r="V65" s="2" t="inlineStr"/>
    </row>
    <row r="66" ht="15" customHeight="1">
      <c r="A66" t="inlineStr">
        <is>
          <t>A 526-2025</t>
        </is>
      </c>
      <c r="B66" t="inlineStr">
        <is>
          <t>avverkningsanmälan</t>
        </is>
      </c>
      <c r="C66" t="inlineStr">
        <is>
          <t>Avverkning för annat ändamål</t>
        </is>
      </c>
      <c r="D66" s="1" t="n">
        <v>45664</v>
      </c>
      <c r="E66" s="1" t="n">
        <v>46284</v>
      </c>
      <c r="F66" t="inlineStr">
        <is>
          <t>NORRBOTTENS LÄN</t>
        </is>
      </c>
      <c r="G66" t="inlineStr">
        <is>
          <t>ARJEPLOG</t>
        </is>
      </c>
      <c r="H66" t="inlineStr">
        <is>
          <t>Övriga statliga verk och myndigheter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23949-2024</t>
        </is>
      </c>
      <c r="B67" t="inlineStr">
        <is>
          <t>avverkningsanmälan</t>
        </is>
      </c>
      <c r="C67" t="inlineStr">
        <is>
          <t>Föryngringsavverkning</t>
        </is>
      </c>
      <c r="D67" s="1" t="n">
        <v>45455</v>
      </c>
      <c r="E67" s="1" t="n">
        <v>46284</v>
      </c>
      <c r="F67" t="inlineStr">
        <is>
          <t>NORRBOTTENS LÄN</t>
        </is>
      </c>
      <c r="G67" t="inlineStr">
        <is>
          <t>ARJEPLOG</t>
        </is>
      </c>
      <c r="H67" t="inlineStr">
        <is>
          <t>SCA</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54589-2021</t>
        </is>
      </c>
      <c r="B68" t="inlineStr">
        <is>
          <t>avverkningsanmälan</t>
        </is>
      </c>
      <c r="C68" t="inlineStr">
        <is>
          <t>Föryngringsavverkning</t>
        </is>
      </c>
      <c r="D68" s="1" t="n">
        <v>44473</v>
      </c>
      <c r="E68" s="1" t="n">
        <v>46284</v>
      </c>
      <c r="F68" t="inlineStr">
        <is>
          <t>NORRBOTTENS LÄN</t>
        </is>
      </c>
      <c r="G68" t="inlineStr">
        <is>
          <t>ARJEPLOG</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20319-2026</t>
        </is>
      </c>
      <c r="B69" t="inlineStr">
        <is>
          <t>avverkningsanmälan</t>
        </is>
      </c>
      <c r="C69" t="inlineStr">
        <is>
          <t>Föryngringsavverkning</t>
        </is>
      </c>
      <c r="D69" s="1" t="n">
        <v>46139</v>
      </c>
      <c r="E69" s="1" t="n">
        <v>46284</v>
      </c>
      <c r="F69" t="inlineStr">
        <is>
          <t>NORRBOTTENS LÄN</t>
        </is>
      </c>
      <c r="G69" t="inlineStr">
        <is>
          <t>ARJEPLOG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20326-2026</t>
        </is>
      </c>
      <c r="B70" t="inlineStr">
        <is>
          <t>avverkningsanmälan</t>
        </is>
      </c>
      <c r="C70" t="inlineStr">
        <is>
          <t>Föryngringsavverkning</t>
        </is>
      </c>
      <c r="D70" s="1" t="n">
        <v>46139</v>
      </c>
      <c r="E70" s="1" t="n">
        <v>46284</v>
      </c>
      <c r="F70" t="inlineStr">
        <is>
          <t>NORRBOTTENS LÄN</t>
        </is>
      </c>
      <c r="G70" t="inlineStr">
        <is>
          <t>ARJEPLOG</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20789-2022</t>
        </is>
      </c>
      <c r="B71" t="inlineStr">
        <is>
          <t>avverkningsanmälan</t>
        </is>
      </c>
      <c r="C71" t="inlineStr">
        <is>
          <t>Föryngringsavverkning</t>
        </is>
      </c>
      <c r="D71" s="1" t="n">
        <v>44701</v>
      </c>
      <c r="E71" s="1" t="n">
        <v>46284</v>
      </c>
      <c r="F71" t="inlineStr">
        <is>
          <t>NORRBOTTENS LÄN</t>
        </is>
      </c>
      <c r="G71" t="inlineStr">
        <is>
          <t>ARJEPLOG</t>
        </is>
      </c>
      <c r="I71" t="n">
        <v>20.3</v>
      </c>
      <c r="J71" t="n">
        <v>0</v>
      </c>
      <c r="K71" t="n">
        <v>0</v>
      </c>
      <c r="L71" t="n">
        <v>0</v>
      </c>
      <c r="M71" t="n">
        <v>0</v>
      </c>
      <c r="N71" t="n">
        <v>0</v>
      </c>
      <c r="O71" t="n">
        <v>0</v>
      </c>
      <c r="P71" t="n">
        <v>0</v>
      </c>
      <c r="Q71" t="n">
        <v>0</v>
      </c>
      <c r="R71" t="n">
        <v>0</v>
      </c>
      <c r="S71" t="n">
        <v>0</v>
      </c>
      <c r="T71" t="n">
        <v>0</v>
      </c>
      <c r="U71" t="n">
        <v>0</v>
      </c>
      <c r="V71" s="2" t="inlineStr"/>
    </row>
    <row r="72" ht="15" customHeight="1">
      <c r="A72" t="inlineStr">
        <is>
          <t>A 35627-2025</t>
        </is>
      </c>
      <c r="B72" t="inlineStr">
        <is>
          <t>avverkningsanmälan</t>
        </is>
      </c>
      <c r="C72" t="inlineStr">
        <is>
          <t>Föryngringsavverkning</t>
        </is>
      </c>
      <c r="D72" s="1" t="n">
        <v>45859</v>
      </c>
      <c r="E72" s="1" t="n">
        <v>46284</v>
      </c>
      <c r="F72" t="inlineStr">
        <is>
          <t>NORRBOTTENS LÄN</t>
        </is>
      </c>
      <c r="G72" t="inlineStr">
        <is>
          <t>ARJEPLOG</t>
        </is>
      </c>
      <c r="I72" t="n">
        <v>8</v>
      </c>
      <c r="J72" t="n">
        <v>0</v>
      </c>
      <c r="K72" t="n">
        <v>0</v>
      </c>
      <c r="L72" t="n">
        <v>0</v>
      </c>
      <c r="M72" t="n">
        <v>0</v>
      </c>
      <c r="N72" t="n">
        <v>0</v>
      </c>
      <c r="O72" t="n">
        <v>0</v>
      </c>
      <c r="P72" t="n">
        <v>0</v>
      </c>
      <c r="Q72" t="n">
        <v>0</v>
      </c>
      <c r="R72" t="n">
        <v>0</v>
      </c>
      <c r="S72" t="n">
        <v>0</v>
      </c>
      <c r="T72" t="n">
        <v>0</v>
      </c>
      <c r="U72" t="n">
        <v>0</v>
      </c>
      <c r="V72" s="2" t="inlineStr"/>
    </row>
    <row r="73" ht="15" customHeight="1">
      <c r="A73" t="inlineStr">
        <is>
          <t>A 42331-2025</t>
        </is>
      </c>
      <c r="B73" t="inlineStr">
        <is>
          <t>avverkningsanmälan</t>
        </is>
      </c>
      <c r="C73" t="inlineStr">
        <is>
          <t>Föryngringsavverkning</t>
        </is>
      </c>
      <c r="D73" s="1" t="n">
        <v>45903</v>
      </c>
      <c r="E73" s="1" t="n">
        <v>46284</v>
      </c>
      <c r="F73" t="inlineStr">
        <is>
          <t>NORRBOTTENS LÄN</t>
        </is>
      </c>
      <c r="G73" t="inlineStr">
        <is>
          <t>ARJEPLOG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42597-2025</t>
        </is>
      </c>
      <c r="B74" t="inlineStr">
        <is>
          <t>avverkningsanmälan</t>
        </is>
      </c>
      <c r="C74" t="inlineStr">
        <is>
          <t>Föryngringsavverkning</t>
        </is>
      </c>
      <c r="D74" s="1" t="n">
        <v>45905</v>
      </c>
      <c r="E74" s="1" t="n">
        <v>46284</v>
      </c>
      <c r="F74" t="inlineStr">
        <is>
          <t>NORRBOTTENS LÄN</t>
        </is>
      </c>
      <c r="G74" t="inlineStr">
        <is>
          <t>ARJEPLOG</t>
        </is>
      </c>
      <c r="I74" t="n">
        <v>9.199999999999999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42526-2025</t>
        </is>
      </c>
      <c r="B75" t="inlineStr">
        <is>
          <t>avverkningsanmälan</t>
        </is>
      </c>
      <c r="C75" t="inlineStr">
        <is>
          <t>Föryngringsavverkning</t>
        </is>
      </c>
      <c r="D75" s="1" t="n">
        <v>45905</v>
      </c>
      <c r="E75" s="1" t="n">
        <v>46284</v>
      </c>
      <c r="F75" t="inlineStr">
        <is>
          <t>NORRBOTTENS LÄN</t>
        </is>
      </c>
      <c r="G75" t="inlineStr">
        <is>
          <t>ARJEPLOG</t>
        </is>
      </c>
      <c r="I75" t="n">
        <v>12.5</v>
      </c>
      <c r="J75" t="n">
        <v>0</v>
      </c>
      <c r="K75" t="n">
        <v>0</v>
      </c>
      <c r="L75" t="n">
        <v>0</v>
      </c>
      <c r="M75" t="n">
        <v>0</v>
      </c>
      <c r="N75" t="n">
        <v>0</v>
      </c>
      <c r="O75" t="n">
        <v>0</v>
      </c>
      <c r="P75" t="n">
        <v>0</v>
      </c>
      <c r="Q75" t="n">
        <v>0</v>
      </c>
      <c r="R75" t="n">
        <v>0</v>
      </c>
      <c r="S75" t="n">
        <v>0</v>
      </c>
      <c r="T75" t="n">
        <v>0</v>
      </c>
      <c r="U75" t="n">
        <v>0</v>
      </c>
      <c r="V75" s="2" t="inlineStr"/>
    </row>
    <row r="76" ht="15" customHeight="1">
      <c r="A76" t="inlineStr">
        <is>
          <t>A 20322-2026</t>
        </is>
      </c>
      <c r="B76" t="inlineStr">
        <is>
          <t>avverkningsanmälan</t>
        </is>
      </c>
      <c r="C76" t="inlineStr">
        <is>
          <t>Föryngringsavverkning</t>
        </is>
      </c>
      <c r="D76" s="1" t="n">
        <v>46139</v>
      </c>
      <c r="E76" s="1" t="n">
        <v>46284</v>
      </c>
      <c r="F76" t="inlineStr">
        <is>
          <t>NORRBOTTENS LÄN</t>
        </is>
      </c>
      <c r="G76" t="inlineStr">
        <is>
          <t>ARJEPLOG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26486-2024</t>
        </is>
      </c>
      <c r="B77" t="inlineStr">
        <is>
          <t>avverkningsanmälan</t>
        </is>
      </c>
      <c r="C77" t="inlineStr">
        <is>
          <t>Föryngringsavverkning</t>
        </is>
      </c>
      <c r="D77" s="1" t="n">
        <v>45469</v>
      </c>
      <c r="E77" s="1" t="n">
        <v>46284</v>
      </c>
      <c r="F77" t="inlineStr">
        <is>
          <t>NORRBOTTENS LÄN</t>
        </is>
      </c>
      <c r="G77" t="inlineStr">
        <is>
          <t>ARJEPLOG</t>
        </is>
      </c>
      <c r="I77" t="n">
        <v>7.1</v>
      </c>
      <c r="J77" t="n">
        <v>0</v>
      </c>
      <c r="K77" t="n">
        <v>0</v>
      </c>
      <c r="L77" t="n">
        <v>0</v>
      </c>
      <c r="M77" t="n">
        <v>0</v>
      </c>
      <c r="N77" t="n">
        <v>0</v>
      </c>
      <c r="O77" t="n">
        <v>0</v>
      </c>
      <c r="P77" t="n">
        <v>0</v>
      </c>
      <c r="Q77" t="n">
        <v>0</v>
      </c>
      <c r="R77" t="n">
        <v>0</v>
      </c>
      <c r="S77" t="n">
        <v>0</v>
      </c>
      <c r="T77" t="n">
        <v>0</v>
      </c>
      <c r="U77" t="n">
        <v>0</v>
      </c>
      <c r="V77" s="2" t="inlineStr"/>
    </row>
    <row r="78" ht="15" customHeight="1">
      <c r="A78" t="inlineStr">
        <is>
          <t>A 26472-2024</t>
        </is>
      </c>
      <c r="B78" t="inlineStr">
        <is>
          <t>avverkningsanmälan</t>
        </is>
      </c>
      <c r="C78" t="inlineStr">
        <is>
          <t>Föryngringsavverkning</t>
        </is>
      </c>
      <c r="D78" s="1" t="n">
        <v>45469</v>
      </c>
      <c r="E78" s="1" t="n">
        <v>46284</v>
      </c>
      <c r="F78" t="inlineStr">
        <is>
          <t>NORRBOTTENS LÄN</t>
        </is>
      </c>
      <c r="G78" t="inlineStr">
        <is>
          <t>ARJEPLOG</t>
        </is>
      </c>
      <c r="I78" t="n">
        <v>8.199999999999999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50255-2023</t>
        </is>
      </c>
      <c r="B79" t="inlineStr">
        <is>
          <t>avverkningsanmälan</t>
        </is>
      </c>
      <c r="C79" t="inlineStr">
        <is>
          <t>Föryngringsavverkning</t>
        </is>
      </c>
      <c r="D79" s="1" t="n">
        <v>45216</v>
      </c>
      <c r="E79" s="1" t="n">
        <v>46284</v>
      </c>
      <c r="F79" t="inlineStr">
        <is>
          <t>NORRBOTTENS LÄN</t>
        </is>
      </c>
      <c r="G79" t="inlineStr">
        <is>
          <t>ARJEPLOG</t>
        </is>
      </c>
      <c r="I79" t="n">
        <v>20</v>
      </c>
      <c r="J79" t="n">
        <v>0</v>
      </c>
      <c r="K79" t="n">
        <v>0</v>
      </c>
      <c r="L79" t="n">
        <v>0</v>
      </c>
      <c r="M79" t="n">
        <v>0</v>
      </c>
      <c r="N79" t="n">
        <v>0</v>
      </c>
      <c r="O79" t="n">
        <v>0</v>
      </c>
      <c r="P79" t="n">
        <v>0</v>
      </c>
      <c r="Q79" t="n">
        <v>0</v>
      </c>
      <c r="R79" t="n">
        <v>0</v>
      </c>
      <c r="S79" t="n">
        <v>0</v>
      </c>
      <c r="T79" t="n">
        <v>0</v>
      </c>
      <c r="U79" t="n">
        <v>0</v>
      </c>
      <c r="V79" s="2" t="inlineStr"/>
    </row>
    <row r="80" ht="15" customHeight="1">
      <c r="A80" t="inlineStr">
        <is>
          <t>A 46747-2025</t>
        </is>
      </c>
      <c r="B80" t="inlineStr">
        <is>
          <t>avverkningsanmälan</t>
        </is>
      </c>
      <c r="C80" t="inlineStr">
        <is>
          <t>Föryngringsavverkning</t>
        </is>
      </c>
      <c r="D80" s="1" t="n">
        <v>45926</v>
      </c>
      <c r="E80" s="1" t="n">
        <v>46284</v>
      </c>
      <c r="F80" t="inlineStr">
        <is>
          <t>NORRBOTTENS LÄN</t>
        </is>
      </c>
      <c r="G80" t="inlineStr">
        <is>
          <t>ARJEPLOG</t>
        </is>
      </c>
      <c r="I80" t="n">
        <v>19.7</v>
      </c>
      <c r="J80" t="n">
        <v>0</v>
      </c>
      <c r="K80" t="n">
        <v>0</v>
      </c>
      <c r="L80" t="n">
        <v>0</v>
      </c>
      <c r="M80" t="n">
        <v>0</v>
      </c>
      <c r="N80" t="n">
        <v>0</v>
      </c>
      <c r="O80" t="n">
        <v>0</v>
      </c>
      <c r="P80" t="n">
        <v>0</v>
      </c>
      <c r="Q80" t="n">
        <v>0</v>
      </c>
      <c r="R80" t="n">
        <v>0</v>
      </c>
      <c r="S80" t="n">
        <v>0</v>
      </c>
      <c r="T80" t="n">
        <v>0</v>
      </c>
      <c r="U80" t="n">
        <v>0</v>
      </c>
      <c r="V80" s="2" t="inlineStr"/>
    </row>
    <row r="81" ht="15" customHeight="1">
      <c r="A81" t="inlineStr">
        <is>
          <t>A 27092-2022</t>
        </is>
      </c>
      <c r="B81" t="inlineStr">
        <is>
          <t>avverkningsanmälan</t>
        </is>
      </c>
      <c r="C81" t="inlineStr">
        <is>
          <t>Föryngringsavverkning</t>
        </is>
      </c>
      <c r="D81" s="1" t="n">
        <v>44741</v>
      </c>
      <c r="E81" s="1" t="n">
        <v>46284</v>
      </c>
      <c r="F81" t="inlineStr">
        <is>
          <t>NORRBOTTENS LÄN</t>
        </is>
      </c>
      <c r="G81" t="inlineStr">
        <is>
          <t>ARJEPLOG</t>
        </is>
      </c>
      <c r="I81" t="n">
        <v>15.6</v>
      </c>
      <c r="J81" t="n">
        <v>0</v>
      </c>
      <c r="K81" t="n">
        <v>0</v>
      </c>
      <c r="L81" t="n">
        <v>0</v>
      </c>
      <c r="M81" t="n">
        <v>0</v>
      </c>
      <c r="N81" t="n">
        <v>0</v>
      </c>
      <c r="O81" t="n">
        <v>0</v>
      </c>
      <c r="P81" t="n">
        <v>0</v>
      </c>
      <c r="Q81" t="n">
        <v>0</v>
      </c>
      <c r="R81" t="n">
        <v>0</v>
      </c>
      <c r="S81" t="n">
        <v>0</v>
      </c>
      <c r="T81" t="n">
        <v>0</v>
      </c>
      <c r="U81" t="n">
        <v>0</v>
      </c>
      <c r="V81" s="2" t="inlineStr"/>
    </row>
    <row r="82" ht="15" customHeight="1">
      <c r="A82" t="inlineStr">
        <is>
          <t>A 48987-2025</t>
        </is>
      </c>
      <c r="B82" t="inlineStr">
        <is>
          <t>avverkningsanmälan</t>
        </is>
      </c>
      <c r="C82" t="inlineStr">
        <is>
          <t>Avverkning för annat ändamål</t>
        </is>
      </c>
      <c r="D82" s="1" t="n">
        <v>45937</v>
      </c>
      <c r="E82" s="1" t="n">
        <v>46284</v>
      </c>
      <c r="F82" t="inlineStr">
        <is>
          <t>NORRBOTTENS LÄN</t>
        </is>
      </c>
      <c r="G82" t="inlineStr">
        <is>
          <t>ARJEPLOG</t>
        </is>
      </c>
      <c r="H82" t="inlineStr">
        <is>
          <t>Sveaskog</t>
        </is>
      </c>
      <c r="I82" t="n">
        <v>6.5</v>
      </c>
      <c r="J82" t="n">
        <v>0</v>
      </c>
      <c r="K82" t="n">
        <v>0</v>
      </c>
      <c r="L82" t="n">
        <v>0</v>
      </c>
      <c r="M82" t="n">
        <v>0</v>
      </c>
      <c r="N82" t="n">
        <v>0</v>
      </c>
      <c r="O82" t="n">
        <v>0</v>
      </c>
      <c r="P82" t="n">
        <v>0</v>
      </c>
      <c r="Q82" t="n">
        <v>0</v>
      </c>
      <c r="R82" t="n">
        <v>0</v>
      </c>
      <c r="S82" t="n">
        <v>0</v>
      </c>
      <c r="T82" t="n">
        <v>0</v>
      </c>
      <c r="U82" t="n">
        <v>0</v>
      </c>
      <c r="V82" s="2" t="inlineStr"/>
    </row>
    <row r="83" ht="15" customHeight="1">
      <c r="A83" t="inlineStr">
        <is>
          <t>A 64816-2023</t>
        </is>
      </c>
      <c r="B83" t="inlineStr">
        <is>
          <t>avverkningsanmälan</t>
        </is>
      </c>
      <c r="C83" t="inlineStr">
        <is>
          <t>Föryngringsavverkning</t>
        </is>
      </c>
      <c r="D83" s="1" t="n">
        <v>45281</v>
      </c>
      <c r="E83" s="1" t="n">
        <v>46284</v>
      </c>
      <c r="F83" t="inlineStr">
        <is>
          <t>NORRBOTTENS LÄN</t>
        </is>
      </c>
      <c r="G83" t="inlineStr">
        <is>
          <t>ARJEPLOG</t>
        </is>
      </c>
      <c r="I83" t="n">
        <v>13.4</v>
      </c>
      <c r="J83" t="n">
        <v>0</v>
      </c>
      <c r="K83" t="n">
        <v>0</v>
      </c>
      <c r="L83" t="n">
        <v>0</v>
      </c>
      <c r="M83" t="n">
        <v>0</v>
      </c>
      <c r="N83" t="n">
        <v>0</v>
      </c>
      <c r="O83" t="n">
        <v>0</v>
      </c>
      <c r="P83" t="n">
        <v>0</v>
      </c>
      <c r="Q83" t="n">
        <v>0</v>
      </c>
      <c r="R83" t="n">
        <v>0</v>
      </c>
      <c r="S83" t="n">
        <v>0</v>
      </c>
      <c r="T83" t="n">
        <v>0</v>
      </c>
      <c r="U83" t="n">
        <v>0</v>
      </c>
      <c r="V83" s="2" t="inlineStr"/>
    </row>
    <row r="84" ht="15" customHeight="1">
      <c r="A84" t="inlineStr">
        <is>
          <t>A 28354-2022</t>
        </is>
      </c>
      <c r="B84" t="inlineStr">
        <is>
          <t>avverkningsanmälan</t>
        </is>
      </c>
      <c r="C84" t="inlineStr">
        <is>
          <t>Avverkning för annat ändamål</t>
        </is>
      </c>
      <c r="D84" s="1" t="n">
        <v>44735</v>
      </c>
      <c r="E84" s="1" t="n">
        <v>46284</v>
      </c>
      <c r="F84" t="inlineStr">
        <is>
          <t>NORRBOTTENS LÄN</t>
        </is>
      </c>
      <c r="G84" t="inlineStr">
        <is>
          <t>ARJEPLOG</t>
        </is>
      </c>
      <c r="H84" t="inlineStr">
        <is>
          <t>Övriga statliga verk och myndigheter</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34426-2025</t>
        </is>
      </c>
      <c r="B85" t="inlineStr">
        <is>
          <t>avverkningsanmälan</t>
        </is>
      </c>
      <c r="C85" t="inlineStr">
        <is>
          <t>Föryngringsavverkning</t>
        </is>
      </c>
      <c r="D85" s="1" t="n">
        <v>45845</v>
      </c>
      <c r="E85" s="1" t="n">
        <v>46284</v>
      </c>
      <c r="F85" t="inlineStr">
        <is>
          <t>NORRBOTTENS LÄN</t>
        </is>
      </c>
      <c r="G85" t="inlineStr">
        <is>
          <t>ARJEPLOG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44218-2023</t>
        </is>
      </c>
      <c r="B86" t="inlineStr">
        <is>
          <t>avverkningsanmälan</t>
        </is>
      </c>
      <c r="C86" t="inlineStr">
        <is>
          <t>Avverkning för annat ändamål</t>
        </is>
      </c>
      <c r="D86" s="1" t="n">
        <v>45183</v>
      </c>
      <c r="E86" s="1" t="n">
        <v>46284</v>
      </c>
      <c r="F86" t="inlineStr">
        <is>
          <t>NORRBOTTENS LÄN</t>
        </is>
      </c>
      <c r="G86" t="inlineStr">
        <is>
          <t>ARJEPLOG</t>
        </is>
      </c>
      <c r="H86" t="inlineStr">
        <is>
          <t>Allmännings- och besparingsskogar</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56754-2024</t>
        </is>
      </c>
      <c r="B87" t="inlineStr">
        <is>
          <t>avverkningsanmälan</t>
        </is>
      </c>
      <c r="C87" t="inlineStr">
        <is>
          <t>Föryngringsavverkning</t>
        </is>
      </c>
      <c r="D87" s="1" t="n">
        <v>45625</v>
      </c>
      <c r="E87" s="1" t="n">
        <v>46284</v>
      </c>
      <c r="F87" t="inlineStr">
        <is>
          <t>NORRBOTTENS LÄN</t>
        </is>
      </c>
      <c r="G87" t="inlineStr">
        <is>
          <t>ARJEPLOG</t>
        </is>
      </c>
      <c r="I87" t="n">
        <v>11.5</v>
      </c>
      <c r="J87" t="n">
        <v>0</v>
      </c>
      <c r="K87" t="n">
        <v>0</v>
      </c>
      <c r="L87" t="n">
        <v>0</v>
      </c>
      <c r="M87" t="n">
        <v>0</v>
      </c>
      <c r="N87" t="n">
        <v>0</v>
      </c>
      <c r="O87" t="n">
        <v>0</v>
      </c>
      <c r="P87" t="n">
        <v>0</v>
      </c>
      <c r="Q87" t="n">
        <v>0</v>
      </c>
      <c r="R87" t="n">
        <v>0</v>
      </c>
      <c r="S87" t="n">
        <v>0</v>
      </c>
      <c r="T87" t="n">
        <v>0</v>
      </c>
      <c r="U87" t="n">
        <v>0</v>
      </c>
      <c r="V87" s="2" t="inlineStr"/>
    </row>
    <row r="88" ht="15" customHeight="1">
      <c r="A88" t="inlineStr">
        <is>
          <t>A 17536-2023</t>
        </is>
      </c>
      <c r="B88" t="inlineStr">
        <is>
          <t>avverkningsanmälan</t>
        </is>
      </c>
      <c r="C88" t="inlineStr">
        <is>
          <t>Föryngringsavverkning</t>
        </is>
      </c>
      <c r="D88" s="1" t="n">
        <v>45034</v>
      </c>
      <c r="E88" s="1" t="n">
        <v>46284</v>
      </c>
      <c r="F88" t="inlineStr">
        <is>
          <t>NORRBOTTENS LÄN</t>
        </is>
      </c>
      <c r="G88" t="inlineStr">
        <is>
          <t>ARJEPLOG</t>
        </is>
      </c>
      <c r="H88" t="inlineStr">
        <is>
          <t>Övriga statliga verk och myndigheter</t>
        </is>
      </c>
      <c r="I88" t="n">
        <v>20.3</v>
      </c>
      <c r="J88" t="n">
        <v>0</v>
      </c>
      <c r="K88" t="n">
        <v>0</v>
      </c>
      <c r="L88" t="n">
        <v>0</v>
      </c>
      <c r="M88" t="n">
        <v>0</v>
      </c>
      <c r="N88" t="n">
        <v>0</v>
      </c>
      <c r="O88" t="n">
        <v>0</v>
      </c>
      <c r="P88" t="n">
        <v>0</v>
      </c>
      <c r="Q88" t="n">
        <v>0</v>
      </c>
      <c r="R88" t="n">
        <v>0</v>
      </c>
      <c r="S88" t="n">
        <v>0</v>
      </c>
      <c r="T88" t="n">
        <v>0</v>
      </c>
      <c r="U88" t="n">
        <v>0</v>
      </c>
      <c r="V88" s="2" t="inlineStr"/>
    </row>
    <row r="89" ht="15" customHeight="1">
      <c r="A89" t="inlineStr">
        <is>
          <t>A 61729-2024</t>
        </is>
      </c>
      <c r="B89" t="inlineStr">
        <is>
          <t>avverkningsanmälan</t>
        </is>
      </c>
      <c r="C89" t="inlineStr">
        <is>
          <t>Avverkning för annat ändamål</t>
        </is>
      </c>
      <c r="D89" s="1" t="n">
        <v>45649</v>
      </c>
      <c r="E89" s="1" t="n">
        <v>46284</v>
      </c>
      <c r="F89" t="inlineStr">
        <is>
          <t>NORRBOTTENS LÄN</t>
        </is>
      </c>
      <c r="G89" t="inlineStr">
        <is>
          <t>ARJEPLOG</t>
        </is>
      </c>
      <c r="H89" t="inlineStr">
        <is>
          <t>Övriga statliga verk och myndigheter</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29674-2025</t>
        </is>
      </c>
      <c r="B90" t="inlineStr">
        <is>
          <t>avverkningsanmälan</t>
        </is>
      </c>
      <c r="C90" t="inlineStr">
        <is>
          <t>Föryngringsavverkning</t>
        </is>
      </c>
      <c r="D90" s="1" t="n">
        <v>45825</v>
      </c>
      <c r="E90" s="1" t="n">
        <v>46284</v>
      </c>
      <c r="F90" t="inlineStr">
        <is>
          <t>NORRBOTTENS LÄN</t>
        </is>
      </c>
      <c r="G90" t="inlineStr">
        <is>
          <t>ARJEPLOG</t>
        </is>
      </c>
      <c r="H90" t="inlineStr">
        <is>
          <t>Allmännings- och besparingsskogar</t>
        </is>
      </c>
      <c r="I90" t="n">
        <v>25.1</v>
      </c>
      <c r="J90" t="n">
        <v>0</v>
      </c>
      <c r="K90" t="n">
        <v>0</v>
      </c>
      <c r="L90" t="n">
        <v>0</v>
      </c>
      <c r="M90" t="n">
        <v>0</v>
      </c>
      <c r="N90" t="n">
        <v>0</v>
      </c>
      <c r="O90" t="n">
        <v>0</v>
      </c>
      <c r="P90" t="n">
        <v>0</v>
      </c>
      <c r="Q90" t="n">
        <v>0</v>
      </c>
      <c r="R90" t="n">
        <v>0</v>
      </c>
      <c r="S90" t="n">
        <v>0</v>
      </c>
      <c r="T90" t="n">
        <v>0</v>
      </c>
      <c r="U90" t="n">
        <v>0</v>
      </c>
      <c r="V90" s="2" t="inlineStr"/>
    </row>
    <row r="91" ht="15" customHeight="1">
      <c r="A91" t="inlineStr">
        <is>
          <t>A 23330-2026</t>
        </is>
      </c>
      <c r="B91" t="inlineStr">
        <is>
          <t>avverkningsanmälan</t>
        </is>
      </c>
      <c r="C91" t="inlineStr">
        <is>
          <t>Föryngringsavverkning</t>
        </is>
      </c>
      <c r="D91" s="1" t="n">
        <v>46162</v>
      </c>
      <c r="E91" s="1" t="n">
        <v>46284</v>
      </c>
      <c r="F91" t="inlineStr">
        <is>
          <t>NORRBOTTENS LÄN</t>
        </is>
      </c>
      <c r="G91" t="inlineStr">
        <is>
          <t>ARJEPLOG</t>
        </is>
      </c>
      <c r="I91" t="n">
        <v>6.4</v>
      </c>
      <c r="J91" t="n">
        <v>0</v>
      </c>
      <c r="K91" t="n">
        <v>0</v>
      </c>
      <c r="L91" t="n">
        <v>0</v>
      </c>
      <c r="M91" t="n">
        <v>0</v>
      </c>
      <c r="N91" t="n">
        <v>0</v>
      </c>
      <c r="O91" t="n">
        <v>0</v>
      </c>
      <c r="P91" t="n">
        <v>0</v>
      </c>
      <c r="Q91" t="n">
        <v>0</v>
      </c>
      <c r="R91" t="n">
        <v>0</v>
      </c>
      <c r="S91" t="n">
        <v>0</v>
      </c>
      <c r="T91" t="n">
        <v>0</v>
      </c>
      <c r="U91" t="n">
        <v>0</v>
      </c>
      <c r="V91" s="2" t="inlineStr"/>
    </row>
    <row r="92" ht="15" customHeight="1">
      <c r="A92" t="inlineStr">
        <is>
          <t>A 23335-2026</t>
        </is>
      </c>
      <c r="B92" t="inlineStr">
        <is>
          <t>avverkningsanmälan</t>
        </is>
      </c>
      <c r="C92" t="inlineStr">
        <is>
          <t>Föryngringsavverkning</t>
        </is>
      </c>
      <c r="D92" s="1" t="n">
        <v>46162</v>
      </c>
      <c r="E92" s="1" t="n">
        <v>46284</v>
      </c>
      <c r="F92" t="inlineStr">
        <is>
          <t>NORRBOTTENS LÄN</t>
        </is>
      </c>
      <c r="G92" t="inlineStr">
        <is>
          <t>ARJEPLOG</t>
        </is>
      </c>
      <c r="I92" t="n">
        <v>7.7</v>
      </c>
      <c r="J92" t="n">
        <v>0</v>
      </c>
      <c r="K92" t="n">
        <v>0</v>
      </c>
      <c r="L92" t="n">
        <v>0</v>
      </c>
      <c r="M92" t="n">
        <v>0</v>
      </c>
      <c r="N92" t="n">
        <v>0</v>
      </c>
      <c r="O92" t="n">
        <v>0</v>
      </c>
      <c r="P92" t="n">
        <v>0</v>
      </c>
      <c r="Q92" t="n">
        <v>0</v>
      </c>
      <c r="R92" t="n">
        <v>0</v>
      </c>
      <c r="S92" t="n">
        <v>0</v>
      </c>
      <c r="T92" t="n">
        <v>0</v>
      </c>
      <c r="U92" t="n">
        <v>0</v>
      </c>
      <c r="V92" s="2" t="inlineStr"/>
    </row>
    <row r="93" ht="15" customHeight="1">
      <c r="A93" t="inlineStr">
        <is>
          <t>A 26811-2022</t>
        </is>
      </c>
      <c r="B93" t="inlineStr">
        <is>
          <t>avverkningsanmälan</t>
        </is>
      </c>
      <c r="C93" t="inlineStr">
        <is>
          <t>Avverkning för annat ändamål</t>
        </is>
      </c>
      <c r="D93" s="1" t="n">
        <v>44735</v>
      </c>
      <c r="E93" s="1" t="n">
        <v>46284</v>
      </c>
      <c r="F93" t="inlineStr">
        <is>
          <t>NORRBOTTENS LÄN</t>
        </is>
      </c>
      <c r="G93" t="inlineStr">
        <is>
          <t>ARJEPLOG</t>
        </is>
      </c>
      <c r="H93" t="inlineStr">
        <is>
          <t>Övriga statliga verk och myndigheter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59887-2025</t>
        </is>
      </c>
      <c r="B94" t="inlineStr">
        <is>
          <t>avverkningsanmälan</t>
        </is>
      </c>
      <c r="C94" t="inlineStr">
        <is>
          <t>Föryngringsavverkning</t>
        </is>
      </c>
      <c r="D94" s="1" t="n">
        <v>45993</v>
      </c>
      <c r="E94" s="1" t="n">
        <v>46284</v>
      </c>
      <c r="F94" t="inlineStr">
        <is>
          <t>NORRBOTTENS LÄN</t>
        </is>
      </c>
      <c r="G94" t="inlineStr">
        <is>
          <t>ARJEPLOG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60767-2025</t>
        </is>
      </c>
      <c r="B95" t="inlineStr">
        <is>
          <t>avverkningsanmälan</t>
        </is>
      </c>
      <c r="C95" t="inlineStr">
        <is>
          <t>Föryngringsavverkning</t>
        </is>
      </c>
      <c r="D95" s="1" t="n">
        <v>45999</v>
      </c>
      <c r="E95" s="1" t="n">
        <v>46284</v>
      </c>
      <c r="F95" t="inlineStr">
        <is>
          <t>NORRBOTTENS LÄN</t>
        </is>
      </c>
      <c r="G95" t="inlineStr">
        <is>
          <t>ARJEPLOG</t>
        </is>
      </c>
      <c r="I95" t="n">
        <v>11.3</v>
      </c>
      <c r="J95" t="n">
        <v>0</v>
      </c>
      <c r="K95" t="n">
        <v>0</v>
      </c>
      <c r="L95" t="n">
        <v>0</v>
      </c>
      <c r="M95" t="n">
        <v>0</v>
      </c>
      <c r="N95" t="n">
        <v>0</v>
      </c>
      <c r="O95" t="n">
        <v>0</v>
      </c>
      <c r="P95" t="n">
        <v>0</v>
      </c>
      <c r="Q95" t="n">
        <v>0</v>
      </c>
      <c r="R95" t="n">
        <v>0</v>
      </c>
      <c r="S95" t="n">
        <v>0</v>
      </c>
      <c r="T95" t="n">
        <v>0</v>
      </c>
      <c r="U95" t="n">
        <v>0</v>
      </c>
      <c r="V95" s="2" t="inlineStr"/>
    </row>
    <row r="96" ht="15" customHeight="1">
      <c r="A96" t="inlineStr">
        <is>
          <t>A 60766-2025</t>
        </is>
      </c>
      <c r="B96" t="inlineStr">
        <is>
          <t>avverkningsanmälan</t>
        </is>
      </c>
      <c r="C96" t="inlineStr">
        <is>
          <t>Föryngringsavverkning</t>
        </is>
      </c>
      <c r="D96" s="1" t="n">
        <v>45999</v>
      </c>
      <c r="E96" s="1" t="n">
        <v>46284</v>
      </c>
      <c r="F96" t="inlineStr">
        <is>
          <t>NORRBOTTENS LÄN</t>
        </is>
      </c>
      <c r="G96" t="inlineStr">
        <is>
          <t>ARJEPLOG</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52581-2022</t>
        </is>
      </c>
      <c r="B97" t="inlineStr">
        <is>
          <t>avverkningsanmälan</t>
        </is>
      </c>
      <c r="C97" t="inlineStr">
        <is>
          <t>Föryngringsavverkning</t>
        </is>
      </c>
      <c r="D97" s="1" t="n">
        <v>44874</v>
      </c>
      <c r="E97" s="1" t="n">
        <v>46284</v>
      </c>
      <c r="F97" t="inlineStr">
        <is>
          <t>NORRBOTTENS LÄN</t>
        </is>
      </c>
      <c r="G97" t="inlineStr">
        <is>
          <t>ARJEPLOG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25440-2024</t>
        </is>
      </c>
      <c r="B98" t="inlineStr">
        <is>
          <t>avverkningsanmälan</t>
        </is>
      </c>
      <c r="C98" t="inlineStr">
        <is>
          <t>Föryngringsavverkning</t>
        </is>
      </c>
      <c r="D98" s="1" t="n">
        <v>45463</v>
      </c>
      <c r="E98" s="1" t="n">
        <v>46284</v>
      </c>
      <c r="F98" t="inlineStr">
        <is>
          <t>NORRBOTTENS LÄN</t>
        </is>
      </c>
      <c r="G98" t="inlineStr">
        <is>
          <t>ARJEPLOG</t>
        </is>
      </c>
      <c r="H98" t="inlineStr">
        <is>
          <t>Allmännings- och besparingsskogar</t>
        </is>
      </c>
      <c r="I98" t="n">
        <v>30.7</v>
      </c>
      <c r="J98" t="n">
        <v>0</v>
      </c>
      <c r="K98" t="n">
        <v>0</v>
      </c>
      <c r="L98" t="n">
        <v>0</v>
      </c>
      <c r="M98" t="n">
        <v>0</v>
      </c>
      <c r="N98" t="n">
        <v>0</v>
      </c>
      <c r="O98" t="n">
        <v>0</v>
      </c>
      <c r="P98" t="n">
        <v>0</v>
      </c>
      <c r="Q98" t="n">
        <v>0</v>
      </c>
      <c r="R98" t="n">
        <v>0</v>
      </c>
      <c r="S98" t="n">
        <v>0</v>
      </c>
      <c r="T98" t="n">
        <v>0</v>
      </c>
      <c r="U98" t="n">
        <v>0</v>
      </c>
      <c r="V98" s="2" t="inlineStr"/>
    </row>
    <row r="99" ht="15" customHeight="1">
      <c r="A99" t="inlineStr">
        <is>
          <t>A 12447-2025</t>
        </is>
      </c>
      <c r="B99" t="inlineStr">
        <is>
          <t>avverkningsanmälan</t>
        </is>
      </c>
      <c r="C99" t="inlineStr">
        <is>
          <t>Föryngringsavverkning</t>
        </is>
      </c>
      <c r="D99" s="1" t="n">
        <v>45730</v>
      </c>
      <c r="E99" s="1" t="n">
        <v>46284</v>
      </c>
      <c r="F99" t="inlineStr">
        <is>
          <t>NORRBOTTENS LÄN</t>
        </is>
      </c>
      <c r="G99" t="inlineStr">
        <is>
          <t>ARJEPLOG</t>
        </is>
      </c>
      <c r="I99" t="n">
        <v>7.9</v>
      </c>
      <c r="J99" t="n">
        <v>0</v>
      </c>
      <c r="K99" t="n">
        <v>0</v>
      </c>
      <c r="L99" t="n">
        <v>0</v>
      </c>
      <c r="M99" t="n">
        <v>0</v>
      </c>
      <c r="N99" t="n">
        <v>0</v>
      </c>
      <c r="O99" t="n">
        <v>0</v>
      </c>
      <c r="P99" t="n">
        <v>0</v>
      </c>
      <c r="Q99" t="n">
        <v>0</v>
      </c>
      <c r="R99" t="n">
        <v>0</v>
      </c>
      <c r="S99" t="n">
        <v>0</v>
      </c>
      <c r="T99" t="n">
        <v>0</v>
      </c>
      <c r="U99" t="n">
        <v>0</v>
      </c>
      <c r="V99" s="2" t="inlineStr"/>
    </row>
    <row r="100" ht="15" customHeight="1">
      <c r="A100" t="inlineStr">
        <is>
          <t>A 53822-2024</t>
        </is>
      </c>
      <c r="B100" t="inlineStr">
        <is>
          <t>avverkningsanmälan</t>
        </is>
      </c>
      <c r="C100" t="inlineStr">
        <is>
          <t>Föryngringsavverkning</t>
        </is>
      </c>
      <c r="D100" s="1" t="n">
        <v>45614</v>
      </c>
      <c r="E100" s="1" t="n">
        <v>46284</v>
      </c>
      <c r="F100" t="inlineStr">
        <is>
          <t>NORRBOTTENS LÄN</t>
        </is>
      </c>
      <c r="G100" t="inlineStr">
        <is>
          <t>ARJEPLOG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25239-2023</t>
        </is>
      </c>
      <c r="B101" t="inlineStr">
        <is>
          <t>avverkningsanmälan</t>
        </is>
      </c>
      <c r="C101" t="inlineStr">
        <is>
          <t>Föryngringsavverkning</t>
        </is>
      </c>
      <c r="D101" s="1" t="n">
        <v>45079</v>
      </c>
      <c r="E101" s="1" t="n">
        <v>46284</v>
      </c>
      <c r="F101" t="inlineStr">
        <is>
          <t>NORRBOTTENS LÄN</t>
        </is>
      </c>
      <c r="G101" t="inlineStr">
        <is>
          <t>ARJEPLOG</t>
        </is>
      </c>
      <c r="H101" t="inlineStr">
        <is>
          <t>Övriga statliga verk och myndigheter</t>
        </is>
      </c>
      <c r="I101" t="n">
        <v>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26479-2024</t>
        </is>
      </c>
      <c r="B102" t="inlineStr">
        <is>
          <t>avverkningsanmälan</t>
        </is>
      </c>
      <c r="C102" t="inlineStr">
        <is>
          <t>Föryngringsavverkning</t>
        </is>
      </c>
      <c r="D102" s="1" t="n">
        <v>45468</v>
      </c>
      <c r="E102" s="1" t="n">
        <v>46284</v>
      </c>
      <c r="F102" t="inlineStr">
        <is>
          <t>NORRBOTTENS LÄN</t>
        </is>
      </c>
      <c r="G102" t="inlineStr">
        <is>
          <t>ARJEPLOG</t>
        </is>
      </c>
      <c r="I102" t="n">
        <v>6.9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26103-2024</t>
        </is>
      </c>
      <c r="B103" t="inlineStr">
        <is>
          <t>avverkningsanmälan</t>
        </is>
      </c>
      <c r="C103" t="inlineStr">
        <is>
          <t>Föryngringsavverkning</t>
        </is>
      </c>
      <c r="D103" s="1" t="n">
        <v>45467</v>
      </c>
      <c r="E103" s="1" t="n">
        <v>46284</v>
      </c>
      <c r="F103" t="inlineStr">
        <is>
          <t>NORRBOTTENS LÄN</t>
        </is>
      </c>
      <c r="G103" t="inlineStr">
        <is>
          <t>ARJEPLOG</t>
        </is>
      </c>
      <c r="I103" t="n">
        <v>17.2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64832-2023</t>
        </is>
      </c>
      <c r="B104" t="inlineStr">
        <is>
          <t>avverkningsanmälan</t>
        </is>
      </c>
      <c r="C104" t="inlineStr">
        <is>
          <t>Föryngringsavverkning</t>
        </is>
      </c>
      <c r="D104" s="1" t="n">
        <v>45281</v>
      </c>
      <c r="E104" s="1" t="n">
        <v>46284</v>
      </c>
      <c r="F104" t="inlineStr">
        <is>
          <t>NORRBOTTENS LÄN</t>
        </is>
      </c>
      <c r="G104" t="inlineStr">
        <is>
          <t>ARJEPLOG</t>
        </is>
      </c>
      <c r="I104" t="n">
        <v>43.6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26048-2026</t>
        </is>
      </c>
      <c r="B105" t="inlineStr">
        <is>
          <t>avverkningsanmälan</t>
        </is>
      </c>
      <c r="C105" t="inlineStr">
        <is>
          <t>Föryngringsavverkning</t>
        </is>
      </c>
      <c r="D105" s="1" t="n">
        <v>46181</v>
      </c>
      <c r="E105" s="1" t="n">
        <v>46284</v>
      </c>
      <c r="F105" t="inlineStr">
        <is>
          <t>NORRBOTTENS LÄN</t>
        </is>
      </c>
      <c r="G105" t="inlineStr">
        <is>
          <t>ARJEPLOG</t>
        </is>
      </c>
      <c r="I105" t="n">
        <v>16.9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58989-2024</t>
        </is>
      </c>
      <c r="B106" t="inlineStr">
        <is>
          <t>avverkningsanmälan</t>
        </is>
      </c>
      <c r="C106" t="inlineStr">
        <is>
          <t>Avverkning för annat ändamål</t>
        </is>
      </c>
      <c r="D106" s="1" t="n">
        <v>45636</v>
      </c>
      <c r="E106" s="1" t="n">
        <v>46284</v>
      </c>
      <c r="F106" t="inlineStr">
        <is>
          <t>NORRBOTTENS LÄN</t>
        </is>
      </c>
      <c r="G106" t="inlineStr">
        <is>
          <t>ARJEPLOG</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27102-2026</t>
        </is>
      </c>
      <c r="B107" t="inlineStr">
        <is>
          <t>avverkningsanmälan</t>
        </is>
      </c>
      <c r="C107" t="inlineStr">
        <is>
          <t>Avverkning för annat ändamål</t>
        </is>
      </c>
      <c r="D107" s="1" t="n">
        <v>46188</v>
      </c>
      <c r="E107" s="1" t="n">
        <v>46284</v>
      </c>
      <c r="F107" t="inlineStr">
        <is>
          <t>NORRBOTTENS LÄN</t>
        </is>
      </c>
      <c r="G107" t="inlineStr">
        <is>
          <t>ARJEPLOG</t>
        </is>
      </c>
      <c r="H107" t="inlineStr">
        <is>
          <t>Sveaskog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25270-2023</t>
        </is>
      </c>
      <c r="B108" t="inlineStr">
        <is>
          <t>avverkningsanmälan</t>
        </is>
      </c>
      <c r="C108" t="inlineStr">
        <is>
          <t>Föryngringsavverkning</t>
        </is>
      </c>
      <c r="D108" s="1" t="n">
        <v>45079</v>
      </c>
      <c r="E108" s="1" t="n">
        <v>46284</v>
      </c>
      <c r="F108" t="inlineStr">
        <is>
          <t>NORRBOTTENS LÄN</t>
        </is>
      </c>
      <c r="G108" t="inlineStr">
        <is>
          <t>ARJEPLOG</t>
        </is>
      </c>
      <c r="H108" t="inlineStr">
        <is>
          <t>Övriga statliga verk och myndigheter</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12409-2025</t>
        </is>
      </c>
      <c r="B109" t="inlineStr">
        <is>
          <t>avverkningsanmälan</t>
        </is>
      </c>
      <c r="C109" t="inlineStr">
        <is>
          <t>Föryngringsavverkning</t>
        </is>
      </c>
      <c r="D109" s="1" t="n">
        <v>45730</v>
      </c>
      <c r="E109" s="1" t="n">
        <v>46284</v>
      </c>
      <c r="F109" t="inlineStr">
        <is>
          <t>NORRBOTTENS LÄN</t>
        </is>
      </c>
      <c r="G109" t="inlineStr">
        <is>
          <t>ARJEPLOG</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28799-2026</t>
        </is>
      </c>
      <c r="B110" t="inlineStr">
        <is>
          <t>avverkningsanmälan</t>
        </is>
      </c>
      <c r="C110" t="inlineStr">
        <is>
          <t>Föryngringsavverkning</t>
        </is>
      </c>
      <c r="D110" s="1" t="n">
        <v>46198</v>
      </c>
      <c r="E110" s="1" t="n">
        <v>46284</v>
      </c>
      <c r="F110" t="inlineStr">
        <is>
          <t>NORRBOTTENS LÄN</t>
        </is>
      </c>
      <c r="G110" t="inlineStr">
        <is>
          <t>ARJEPLOG</t>
        </is>
      </c>
      <c r="H110" t="inlineStr">
        <is>
          <t>Allmännings- och besparingsskogar</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28804-2026</t>
        </is>
      </c>
      <c r="B111" t="inlineStr">
        <is>
          <t>avverkningsanmälan</t>
        </is>
      </c>
      <c r="C111" t="inlineStr">
        <is>
          <t>Föryngringsavverkning</t>
        </is>
      </c>
      <c r="D111" s="1" t="n">
        <v>46198</v>
      </c>
      <c r="E111" s="1" t="n">
        <v>46284</v>
      </c>
      <c r="F111" t="inlineStr">
        <is>
          <t>NORRBOTTENS LÄN</t>
        </is>
      </c>
      <c r="G111" t="inlineStr">
        <is>
          <t>ARJEPLOG</t>
        </is>
      </c>
      <c r="H111" t="inlineStr">
        <is>
          <t>Allmännings- och besparingsskogar</t>
        </is>
      </c>
      <c r="I111" t="n">
        <v>11.5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28560-2026</t>
        </is>
      </c>
      <c r="B112" t="inlineStr">
        <is>
          <t>avverkningsanmälan</t>
        </is>
      </c>
      <c r="C112" t="inlineStr">
        <is>
          <t>Föryngringsavverkning</t>
        </is>
      </c>
      <c r="D112" s="1" t="n">
        <v>46197</v>
      </c>
      <c r="E112" s="1" t="n">
        <v>46284</v>
      </c>
      <c r="F112" t="inlineStr">
        <is>
          <t>NORRBOTTENS LÄN</t>
        </is>
      </c>
      <c r="G112" t="inlineStr">
        <is>
          <t>ARJEPLOG</t>
        </is>
      </c>
      <c r="H112" t="inlineStr">
        <is>
          <t>Allmännings- och besparingsskogar</t>
        </is>
      </c>
      <c r="I112" t="n">
        <v>14.2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14861-2026</t>
        </is>
      </c>
      <c r="B113" t="inlineStr">
        <is>
          <t>avverkningsanmälan</t>
        </is>
      </c>
      <c r="C113" t="inlineStr">
        <is>
          <t>Föryngringsavverkning</t>
        </is>
      </c>
      <c r="D113" s="1" t="n">
        <v>46104</v>
      </c>
      <c r="E113" s="1" t="n">
        <v>46284</v>
      </c>
      <c r="F113" t="inlineStr">
        <is>
          <t>NORRBOTTENS LÄN</t>
        </is>
      </c>
      <c r="G113" t="inlineStr">
        <is>
          <t>ARJEPLOG</t>
        </is>
      </c>
      <c r="H113" t="inlineStr">
        <is>
          <t>Sveaskog</t>
        </is>
      </c>
      <c r="I113" t="n">
        <v>31.7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35194-2024</t>
        </is>
      </c>
      <c r="B114" t="inlineStr">
        <is>
          <t>avverkningsanmälan</t>
        </is>
      </c>
      <c r="C114" t="inlineStr">
        <is>
          <t>Föryngringsavverkning</t>
        </is>
      </c>
      <c r="D114" s="1" t="n">
        <v>45530</v>
      </c>
      <c r="E114" s="1" t="n">
        <v>46284</v>
      </c>
      <c r="F114" t="inlineStr">
        <is>
          <t>NORRBOTTENS LÄN</t>
        </is>
      </c>
      <c r="G114" t="inlineStr">
        <is>
          <t>ARJEPLOG</t>
        </is>
      </c>
      <c r="I114" t="n">
        <v>20.1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36623-2023</t>
        </is>
      </c>
      <c r="B115" t="inlineStr">
        <is>
          <t>avverkningsanmälan</t>
        </is>
      </c>
      <c r="C115" t="inlineStr">
        <is>
          <t>Föryngringsavverkning</t>
        </is>
      </c>
      <c r="D115" s="1" t="n">
        <v>45153</v>
      </c>
      <c r="E115" s="1" t="n">
        <v>46284</v>
      </c>
      <c r="F115" t="inlineStr">
        <is>
          <t>NORRBOTTENS LÄN</t>
        </is>
      </c>
      <c r="G115" t="inlineStr">
        <is>
          <t>ARJEPLOG</t>
        </is>
      </c>
      <c r="H115" t="inlineStr">
        <is>
          <t>Sveaskog</t>
        </is>
      </c>
      <c r="I115" t="n">
        <v>16.9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64840-2023</t>
        </is>
      </c>
      <c r="B116" t="inlineStr">
        <is>
          <t>avverkningsanmälan</t>
        </is>
      </c>
      <c r="C116" t="inlineStr">
        <is>
          <t>Föryngringsavverkning</t>
        </is>
      </c>
      <c r="D116" s="1" t="n">
        <v>45281</v>
      </c>
      <c r="E116" s="1" t="n">
        <v>46284</v>
      </c>
      <c r="F116" t="inlineStr">
        <is>
          <t>NORRBOTTENS LÄN</t>
        </is>
      </c>
      <c r="G116" t="inlineStr">
        <is>
          <t>ARJEPLOG</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33993-2026</t>
        </is>
      </c>
      <c r="B117" t="inlineStr">
        <is>
          <t>avverkningsanmälan</t>
        </is>
      </c>
      <c r="C117" t="inlineStr">
        <is>
          <t>Avverkning för annat ändamål</t>
        </is>
      </c>
      <c r="D117" s="1" t="n">
        <v>46252</v>
      </c>
      <c r="E117" s="1" t="n">
        <v>46284</v>
      </c>
      <c r="F117" t="inlineStr">
        <is>
          <t>NORRBOTTENS LÄN</t>
        </is>
      </c>
      <c r="G117" t="inlineStr">
        <is>
          <t>ARJEPLOG</t>
        </is>
      </c>
      <c r="H117" t="inlineStr">
        <is>
          <t>Sveaskog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56785-2024</t>
        </is>
      </c>
      <c r="B118" t="inlineStr">
        <is>
          <t>avverkningsanmälan</t>
        </is>
      </c>
      <c r="C118" t="inlineStr">
        <is>
          <t>Föryngringsavverkning</t>
        </is>
      </c>
      <c r="D118" s="1" t="n">
        <v>45625</v>
      </c>
      <c r="E118" s="1" t="n">
        <v>46284</v>
      </c>
      <c r="F118" t="inlineStr">
        <is>
          <t>NORRBOTTENS LÄN</t>
        </is>
      </c>
      <c r="G118" t="inlineStr">
        <is>
          <t>ARJEPLOG</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27836-2026</t>
        </is>
      </c>
      <c r="B119" t="inlineStr">
        <is>
          <t>avverkningsanmälan</t>
        </is>
      </c>
      <c r="C119" t="inlineStr">
        <is>
          <t>Avverkning för annat ändamål</t>
        </is>
      </c>
      <c r="D119" s="1" t="n">
        <v>46189</v>
      </c>
      <c r="E119" s="1" t="n">
        <v>46284</v>
      </c>
      <c r="F119" t="inlineStr">
        <is>
          <t>NORRBOTTENS LÄN</t>
        </is>
      </c>
      <c r="G119" t="inlineStr">
        <is>
          <t>ARJEPLOG</t>
        </is>
      </c>
      <c r="H119" t="inlineStr">
        <is>
          <t>Sveaskog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28679-2026</t>
        </is>
      </c>
      <c r="B120" t="inlineStr">
        <is>
          <t>avverkningsanmälan</t>
        </is>
      </c>
      <c r="C120" t="inlineStr">
        <is>
          <t>Föryngringsavverkning</t>
        </is>
      </c>
      <c r="D120" s="1" t="n">
        <v>46198</v>
      </c>
      <c r="E120" s="1" t="n">
        <v>46284</v>
      </c>
      <c r="F120" t="inlineStr">
        <is>
          <t>NORRBOTTENS LÄN</t>
        </is>
      </c>
      <c r="G120" t="inlineStr">
        <is>
          <t>ARJEPLOG</t>
        </is>
      </c>
      <c r="H120" t="inlineStr">
        <is>
          <t>Allmännings- och besparingsskogar</t>
        </is>
      </c>
      <c r="I120" t="n">
        <v>17.2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56800-2024</t>
        </is>
      </c>
      <c r="B121" t="inlineStr">
        <is>
          <t>avverkningsanmälan</t>
        </is>
      </c>
      <c r="C121" t="inlineStr">
        <is>
          <t>Föryngringsavverkning</t>
        </is>
      </c>
      <c r="D121" s="1" t="n">
        <v>45625</v>
      </c>
      <c r="E121" s="1" t="n">
        <v>46284</v>
      </c>
      <c r="F121" t="inlineStr">
        <is>
          <t>NORRBOTTENS LÄN</t>
        </is>
      </c>
      <c r="G121" t="inlineStr">
        <is>
          <t>ARJEPLOG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28787-2026</t>
        </is>
      </c>
      <c r="B122" t="inlineStr">
        <is>
          <t>avverkningsanmälan</t>
        </is>
      </c>
      <c r="C122" t="inlineStr">
        <is>
          <t>Föryngringsavverkning</t>
        </is>
      </c>
      <c r="D122" s="1" t="n">
        <v>46198</v>
      </c>
      <c r="E122" s="1" t="n">
        <v>46284</v>
      </c>
      <c r="F122" t="inlineStr">
        <is>
          <t>NORRBOTTENS LÄN</t>
        </is>
      </c>
      <c r="G122" t="inlineStr">
        <is>
          <t>ARJEPLOG</t>
        </is>
      </c>
      <c r="H122" t="inlineStr">
        <is>
          <t>Allmännings- och besparingsskogar</t>
        </is>
      </c>
      <c r="I122" t="n">
        <v>13.3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28532-2026</t>
        </is>
      </c>
      <c r="B123" t="inlineStr">
        <is>
          <t>avverkningsanmälan</t>
        </is>
      </c>
      <c r="C123" t="inlineStr">
        <is>
          <t>Avverkning för annat ändamål</t>
        </is>
      </c>
      <c r="D123" s="1" t="n">
        <v>46197</v>
      </c>
      <c r="E123" s="1" t="n">
        <v>46284</v>
      </c>
      <c r="F123" t="inlineStr">
        <is>
          <t>NORRBOTTENS LÄN</t>
        </is>
      </c>
      <c r="G123" t="inlineStr">
        <is>
          <t>ARJEPLOG</t>
        </is>
      </c>
      <c r="H123" t="inlineStr">
        <is>
          <t>Allmännings- och besparingsskogar</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28551-2026</t>
        </is>
      </c>
      <c r="B124" t="inlineStr">
        <is>
          <t>avverkningsanmälan</t>
        </is>
      </c>
      <c r="C124" t="inlineStr">
        <is>
          <t>Föryngringsavverkning</t>
        </is>
      </c>
      <c r="D124" s="1" t="n">
        <v>46197</v>
      </c>
      <c r="E124" s="1" t="n">
        <v>46284</v>
      </c>
      <c r="F124" t="inlineStr">
        <is>
          <t>NORRBOTTENS LÄN</t>
        </is>
      </c>
      <c r="G124" t="inlineStr">
        <is>
          <t>ARJEPLOG</t>
        </is>
      </c>
      <c r="H124" t="inlineStr">
        <is>
          <t>Allmännings- och besparingsskogar</t>
        </is>
      </c>
      <c r="I124" t="n">
        <v>22.9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36006-2026</t>
        </is>
      </c>
      <c r="B125" t="inlineStr">
        <is>
          <t>avverkningsanmälan</t>
        </is>
      </c>
      <c r="C125" t="inlineStr">
        <is>
          <t>Avverkning för annat ändamål</t>
        </is>
      </c>
      <c r="D125" s="1" t="n">
        <v>46266</v>
      </c>
      <c r="E125" s="1" t="n">
        <v>46284</v>
      </c>
      <c r="F125" t="inlineStr">
        <is>
          <t>NORRBOTTENS LÄN</t>
        </is>
      </c>
      <c r="G125" t="inlineStr">
        <is>
          <t>ARJEPLOG</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56794-2024</t>
        </is>
      </c>
      <c r="B126" t="inlineStr">
        <is>
          <t>avverkningsanmälan</t>
        </is>
      </c>
      <c r="C126" t="inlineStr">
        <is>
          <t>Föryngringsavverkning</t>
        </is>
      </c>
      <c r="D126" s="1" t="n">
        <v>45625</v>
      </c>
      <c r="E126" s="1" t="n">
        <v>46284</v>
      </c>
      <c r="F126" t="inlineStr">
        <is>
          <t>NORRBOTTENS LÄN</t>
        </is>
      </c>
      <c r="G126" t="inlineStr">
        <is>
          <t>ARJEPLOG</t>
        </is>
      </c>
      <c r="I126" t="n">
        <v>7.5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56782-2024</t>
        </is>
      </c>
      <c r="B127" t="inlineStr">
        <is>
          <t>avverkningsanmälan</t>
        </is>
      </c>
      <c r="C127" t="inlineStr">
        <is>
          <t>Föryngringsavverkning</t>
        </is>
      </c>
      <c r="D127" s="1" t="n">
        <v>45625</v>
      </c>
      <c r="E127" s="1" t="n">
        <v>46284</v>
      </c>
      <c r="F127" t="inlineStr">
        <is>
          <t>NORRBOTTENS LÄN</t>
        </is>
      </c>
      <c r="G127" t="inlineStr">
        <is>
          <t>ARJEPLOG</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42274-2022</t>
        </is>
      </c>
      <c r="B128" t="inlineStr">
        <is>
          <t>avverkningsanmälan</t>
        </is>
      </c>
      <c r="C128" t="inlineStr">
        <is>
          <t>Föryngringsavverkning</t>
        </is>
      </c>
      <c r="D128" s="1" t="n">
        <v>44830</v>
      </c>
      <c r="E128" s="1" t="n">
        <v>46284</v>
      </c>
      <c r="F128" t="inlineStr">
        <is>
          <t>NORRBOTTENS LÄN</t>
        </is>
      </c>
      <c r="G128" t="inlineStr">
        <is>
          <t>ARJEPLOG</t>
        </is>
      </c>
      <c r="H128" t="inlineStr">
        <is>
          <t>SCA</t>
        </is>
      </c>
      <c r="I128" t="n">
        <v>6.5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390-2026</t>
        </is>
      </c>
      <c r="B129" t="inlineStr">
        <is>
          <t>avverkningsanmälan</t>
        </is>
      </c>
      <c r="C129" t="inlineStr">
        <is>
          <t>Föryngringsavverkning</t>
        </is>
      </c>
      <c r="D129" s="1" t="n">
        <v>46028</v>
      </c>
      <c r="E129" s="1" t="n">
        <v>46284</v>
      </c>
      <c r="F129" t="inlineStr">
        <is>
          <t>NORRBOTTENS LÄN</t>
        </is>
      </c>
      <c r="G129" t="inlineStr">
        <is>
          <t>ARJEPLOG</t>
        </is>
      </c>
      <c r="I129" t="n">
        <v>19.5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36470-2026</t>
        </is>
      </c>
      <c r="B130" t="inlineStr">
        <is>
          <t>avverkningsanmälan</t>
        </is>
      </c>
      <c r="C130" t="inlineStr">
        <is>
          <t>Föryngringsavverkning</t>
        </is>
      </c>
      <c r="D130" s="1" t="n">
        <v>46269</v>
      </c>
      <c r="E130" s="1" t="n">
        <v>46284</v>
      </c>
      <c r="F130" t="inlineStr">
        <is>
          <t>NORRBOTTENS LÄN</t>
        </is>
      </c>
      <c r="G130" t="inlineStr">
        <is>
          <t>ARJEPLOG</t>
        </is>
      </c>
      <c r="H130" t="inlineStr">
        <is>
          <t>Sveaskog</t>
        </is>
      </c>
      <c r="I130" t="n">
        <v>13.9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56276-2021</t>
        </is>
      </c>
      <c r="B131" t="inlineStr">
        <is>
          <t>avverkningsanmälan</t>
        </is>
      </c>
      <c r="C131" t="inlineStr">
        <is>
          <t>Avverkning för annat ändamål</t>
        </is>
      </c>
      <c r="D131" s="1" t="n">
        <v>44479</v>
      </c>
      <c r="E131" s="1" t="n">
        <v>46284</v>
      </c>
      <c r="F131" t="inlineStr">
        <is>
          <t>NORRBOTTENS LÄN</t>
        </is>
      </c>
      <c r="G131" t="inlineStr">
        <is>
          <t>ARJEPLOG</t>
        </is>
      </c>
      <c r="I131" t="n">
        <v>19.8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43045-2022</t>
        </is>
      </c>
      <c r="B132" t="inlineStr">
        <is>
          <t>avverkningsanmälan</t>
        </is>
      </c>
      <c r="C132" t="inlineStr">
        <is>
          <t>Föryngringsavverkning</t>
        </is>
      </c>
      <c r="D132" s="1" t="n">
        <v>44833</v>
      </c>
      <c r="E132" s="1" t="n">
        <v>46284</v>
      </c>
      <c r="F132" t="inlineStr">
        <is>
          <t>NORRBOTTENS LÄN</t>
        </is>
      </c>
      <c r="G132" t="inlineStr">
        <is>
          <t>ARJEPLOG</t>
        </is>
      </c>
      <c r="I132" t="n">
        <v>24.6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43045-2022</t>
        </is>
      </c>
      <c r="B133" t="inlineStr">
        <is>
          <t>avverkningsanmälan</t>
        </is>
      </c>
      <c r="C133" t="inlineStr">
        <is>
          <t>Föryngringsavverkning</t>
        </is>
      </c>
      <c r="D133" s="1" t="n">
        <v>44833</v>
      </c>
      <c r="E133" s="1" t="n">
        <v>46284</v>
      </c>
      <c r="F133" t="inlineStr">
        <is>
          <t>NORRBOTTENS LÄN</t>
        </is>
      </c>
      <c r="G133" t="inlineStr">
        <is>
          <t>ARJEPLOG</t>
        </is>
      </c>
      <c r="I133" t="n">
        <v>23.2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25275-2023</t>
        </is>
      </c>
      <c r="B134" t="inlineStr">
        <is>
          <t>avverkningsanmälan</t>
        </is>
      </c>
      <c r="C134" t="inlineStr">
        <is>
          <t>Föryngringsavverkning</t>
        </is>
      </c>
      <c r="D134" s="1" t="n">
        <v>45079</v>
      </c>
      <c r="E134" s="1" t="n">
        <v>46284</v>
      </c>
      <c r="F134" t="inlineStr">
        <is>
          <t>NORRBOTTENS LÄN</t>
        </is>
      </c>
      <c r="G134" t="inlineStr">
        <is>
          <t>ARJEPLOG</t>
        </is>
      </c>
      <c r="H134" t="inlineStr">
        <is>
          <t>Övriga statliga verk och myndigheter</t>
        </is>
      </c>
      <c r="I134" t="n">
        <v>22.7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31104-2025</t>
        </is>
      </c>
      <c r="B135" t="inlineStr">
        <is>
          <t>avverkningsanmälan</t>
        </is>
      </c>
      <c r="C135" t="inlineStr">
        <is>
          <t>Föryngringsavverkning</t>
        </is>
      </c>
      <c r="D135" s="1" t="n">
        <v>45832</v>
      </c>
      <c r="E135" s="1" t="n">
        <v>46284</v>
      </c>
      <c r="F135" t="inlineStr">
        <is>
          <t>NORRBOTTENS LÄN</t>
        </is>
      </c>
      <c r="G135" t="inlineStr">
        <is>
          <t>ARJEPLOG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25559-2022</t>
        </is>
      </c>
      <c r="B136" t="inlineStr">
        <is>
          <t>avverkningsanmälan</t>
        </is>
      </c>
      <c r="C136" t="inlineStr">
        <is>
          <t>Föryngringsavverkning</t>
        </is>
      </c>
      <c r="D136" s="1" t="n">
        <v>44732</v>
      </c>
      <c r="E136" s="1" t="n">
        <v>46284</v>
      </c>
      <c r="F136" t="inlineStr">
        <is>
          <t>NORRBOTTENS LÄN</t>
        </is>
      </c>
      <c r="G136" t="inlineStr">
        <is>
          <t>ARJEPLOG</t>
        </is>
      </c>
      <c r="H136" t="inlineStr">
        <is>
          <t>Övriga statliga verk och myndigheter</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29662-2025</t>
        </is>
      </c>
      <c r="B137" t="inlineStr">
        <is>
          <t>avverkningsanmälan</t>
        </is>
      </c>
      <c r="C137" t="inlineStr">
        <is>
          <t>Föryngringsavverkning</t>
        </is>
      </c>
      <c r="D137" s="1" t="n">
        <v>45825</v>
      </c>
      <c r="E137" s="1" t="n">
        <v>46284</v>
      </c>
      <c r="F137" t="inlineStr">
        <is>
          <t>NORRBOTTENS LÄN</t>
        </is>
      </c>
      <c r="G137" t="inlineStr">
        <is>
          <t>ARJEPLOG</t>
        </is>
      </c>
      <c r="H137" t="inlineStr">
        <is>
          <t>Allmännings- och besparingsskogar</t>
        </is>
      </c>
      <c r="I137" t="n">
        <v>23.7</v>
      </c>
      <c r="J137" t="n">
        <v>0</v>
      </c>
      <c r="K137" t="n">
        <v>0</v>
      </c>
      <c r="L137" t="n">
        <v>0</v>
      </c>
      <c r="M137" t="n">
        <v>0</v>
      </c>
      <c r="N137" t="n">
        <v>0</v>
      </c>
      <c r="O137" t="n">
        <v>0</v>
      </c>
      <c r="P137" t="n">
        <v>0</v>
      </c>
      <c r="Q137" t="n">
        <v>0</v>
      </c>
      <c r="R137" t="n">
        <v>0</v>
      </c>
      <c r="S137" t="n">
        <v>0</v>
      </c>
      <c r="T137" t="n">
        <v>0</v>
      </c>
      <c r="U137" t="n">
        <v>0</v>
      </c>
      <c r="V137" s="2" t="inlineStr"/>
    </row>
    <row r="138">
      <c r="A138" t="inlineStr">
        <is>
          <t>S 1086-2023</t>
        </is>
      </c>
      <c r="B138" t="inlineStr">
        <is>
          <t>samrådsanmälan</t>
        </is>
      </c>
      <c r="C138" t="inlineStr">
        <is>
          <t>Skogsgödsling</t>
        </is>
      </c>
      <c r="D138" s="1" t="n">
        <v>45013</v>
      </c>
      <c r="E138" s="1" t="n">
        <v>46284</v>
      </c>
      <c r="F138" t="inlineStr">
        <is>
          <t>NORRBOTTENS LÄN</t>
        </is>
      </c>
      <c r="G138" t="inlineStr">
        <is>
          <t>ARJEPLOG</t>
        </is>
      </c>
      <c r="H138" t="inlineStr">
        <is>
          <t>SCA</t>
        </is>
      </c>
      <c r="I138" t="n">
        <v>24.2</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2026-09-19T02:00:49Z</dcterms:created>
  <dcterms:modified xmlns:dcterms="http://purl.org/dc/terms/" xmlns:xsi="http://www.w3.org/2001/XMLSchema-instance" xsi:type="dcterms:W3CDTF">2026-09-19T02:00:49Z</dcterms:modified>
</cp:coreProperties>
</file>