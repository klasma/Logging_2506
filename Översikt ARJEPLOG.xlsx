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46235</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46235</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73880-2021</t>
        </is>
      </c>
      <c r="B4" t="inlineStr">
        <is>
          <t>avverkningsanmälan</t>
        </is>
      </c>
      <c r="C4" t="inlineStr">
        <is>
          <t>Föryngringsavverkning</t>
        </is>
      </c>
      <c r="D4" s="1" t="n">
        <v>44552</v>
      </c>
      <c r="E4" s="1" t="n">
        <v>46235</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46235</v>
      </c>
      <c r="F5" t="inlineStr">
        <is>
          <t>NORRBOTTENS LÄN</t>
        </is>
      </c>
      <c r="G5" t="inlineStr">
        <is>
          <t>ARJEPLOG</t>
        </is>
      </c>
      <c r="I5" t="n">
        <v>12.9</v>
      </c>
      <c r="J5" t="n">
        <v>8</v>
      </c>
      <c r="K5" t="n">
        <v>12</v>
      </c>
      <c r="L5" t="n">
        <v>16</v>
      </c>
      <c r="M5" t="n">
        <v>8</v>
      </c>
      <c r="N5" t="n">
        <v>0</v>
      </c>
      <c r="O5" t="n">
        <v>0</v>
      </c>
      <c r="P5" t="n">
        <v>0</v>
      </c>
      <c r="Q5" t="n">
        <v>24</v>
      </c>
      <c r="R5" t="n">
        <v>8</v>
      </c>
      <c r="S5" t="n">
        <v>38</v>
      </c>
      <c r="T5" t="n">
        <v>261</v>
      </c>
      <c r="U5" t="n">
        <v>261</v>
      </c>
      <c r="V5"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64809-2023</t>
        </is>
      </c>
      <c r="B6" t="inlineStr">
        <is>
          <t>avverkningsanmälan</t>
        </is>
      </c>
      <c r="C6" t="inlineStr">
        <is>
          <t>Föryngringsavverkning</t>
        </is>
      </c>
      <c r="D6" s="1" t="n">
        <v>45281</v>
      </c>
      <c r="E6" s="1" t="n">
        <v>46235</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46235</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46235</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46235</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46235</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46235</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46235</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46235</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46235</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46235</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46235</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64837-2023</t>
        </is>
      </c>
      <c r="B17" t="inlineStr">
        <is>
          <t>avverkningsanmälan</t>
        </is>
      </c>
      <c r="C17" t="inlineStr">
        <is>
          <t>Föryngringsavverkning</t>
        </is>
      </c>
      <c r="D17" s="1" t="n">
        <v>45281</v>
      </c>
      <c r="E17" s="1" t="n">
        <v>46235</v>
      </c>
      <c r="F17" t="inlineStr">
        <is>
          <t>NORRBOTTENS LÄN</t>
        </is>
      </c>
      <c r="G17" t="inlineStr">
        <is>
          <t>ARJEPLOG</t>
        </is>
      </c>
      <c r="I17" t="n">
        <v>5</v>
      </c>
      <c r="J17" t="n">
        <v>3</v>
      </c>
      <c r="K17" t="n">
        <v>2</v>
      </c>
      <c r="L17" t="n">
        <v>12</v>
      </c>
      <c r="M17" t="n">
        <v>2</v>
      </c>
      <c r="N17" t="n">
        <v>0</v>
      </c>
      <c r="O17" t="n">
        <v>0</v>
      </c>
      <c r="P17" t="n">
        <v>0</v>
      </c>
      <c r="Q17" t="n">
        <v>14</v>
      </c>
      <c r="R17" t="n">
        <v>2</v>
      </c>
      <c r="S17" t="n">
        <v>17</v>
      </c>
      <c r="T17" t="n">
        <v>57</v>
      </c>
      <c r="U17" t="n">
        <v>57</v>
      </c>
      <c r="V17" s="2" t="inlineStr">
        <is>
          <t>Garnlav
Gränsticka
Blanksvart spiklav
Blågrå svartspik
Dvärgbägarlav
Gammelgransskål
Knottrig blåslav
Kolflarnlav
Kortskaftad ärgspik
Mörk kolflarnlav
Talltagel
Tretåig hackspett
Vedflamlav
Vedskivlav
Spindelblomster
Vedticka
Revlummer</t>
        </is>
      </c>
      <c r="W17">
        <f>HYPERLINK("https://klasma.github.io/Logging_2506/artfynd/A 64837-2023 artfynd.xlsx", "A 64837-2023")</f>
        <v/>
      </c>
      <c r="X17">
        <f>HYPERLINK("https://klasma.github.io/Logging_2506/kartor/A 64837-2023 karta.png", "A 64837-2023")</f>
        <v/>
      </c>
      <c r="Y17">
        <f>HYPERLINK("https://klasma.github.io/Logging_2506/kartor_geotiff/A 64837-2023 georefererad karta.tif", "A 64837-2023")</f>
        <v/>
      </c>
      <c r="AA17">
        <f>HYPERLINK("https://klasma.github.io/Logging_2506/klagomål/A 64837-2023 FSC-klagomål.docx", "A 64837-2023")</f>
        <v/>
      </c>
      <c r="AB17">
        <f>HYPERLINK("https://klasma.github.io/Logging_2506/klagomålsmail/A 64837-2023 FSC-klagomål mail.docx", "A 64837-2023")</f>
        <v/>
      </c>
      <c r="AC17">
        <f>HYPERLINK("https://klasma.github.io/Logging_2506/tillsyn/A 64837-2023 tillsynsbegäran.docx", "A 64837-2023")</f>
        <v/>
      </c>
      <c r="AD17">
        <f>HYPERLINK("https://klasma.github.io/Logging_2506/tillsynsmail/A 64837-2023 tillsynsbegäran mail.docx", "A 64837-2023")</f>
        <v/>
      </c>
      <c r="AE17">
        <f>HYPERLINK("https://klasma.github.io/Logging_2506/fåglar/A 64837-2023 prioriterade fågelarter.docx", "A 64837-2023")</f>
        <v/>
      </c>
    </row>
    <row r="18" ht="15" customHeight="1">
      <c r="A18" t="inlineStr">
        <is>
          <t>A 64805-2023</t>
        </is>
      </c>
      <c r="B18" t="inlineStr">
        <is>
          <t>avverkningsanmälan</t>
        </is>
      </c>
      <c r="C18" t="inlineStr">
        <is>
          <t>Föryngringsavverkning</t>
        </is>
      </c>
      <c r="D18" s="1" t="n">
        <v>45281</v>
      </c>
      <c r="E18" s="1" t="n">
        <v>46235</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24892-2026</t>
        </is>
      </c>
      <c r="B19" t="inlineStr">
        <is>
          <t>avverkningsanmälan</t>
        </is>
      </c>
      <c r="C19" t="inlineStr">
        <is>
          <t>Föryngringsavverkning</t>
        </is>
      </c>
      <c r="D19" s="1" t="n">
        <v>46174</v>
      </c>
      <c r="E19" s="1" t="n">
        <v>46235</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46235</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46235</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46235</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1479-2026</t>
        </is>
      </c>
      <c r="B23" t="inlineStr">
        <is>
          <t>avverkningsanmälan</t>
        </is>
      </c>
      <c r="C23" t="inlineStr">
        <is>
          <t>Föryngringsavverkning</t>
        </is>
      </c>
      <c r="D23" s="1" t="n">
        <v>46033</v>
      </c>
      <c r="E23" s="1" t="n">
        <v>46235</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46235</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45417-2024</t>
        </is>
      </c>
      <c r="B25" t="inlineStr">
        <is>
          <t>avverkningsanmälan</t>
        </is>
      </c>
      <c r="C25" t="inlineStr">
        <is>
          <t>Föryngringsavverkning</t>
        </is>
      </c>
      <c r="D25" s="1" t="n">
        <v>45576</v>
      </c>
      <c r="E25" s="1" t="n">
        <v>46235</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46235</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46235</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46235</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1478-2026</t>
        </is>
      </c>
      <c r="B29" t="inlineStr">
        <is>
          <t>avverkningsanmälan</t>
        </is>
      </c>
      <c r="C29" t="inlineStr">
        <is>
          <t>Föryngringsavverkning</t>
        </is>
      </c>
      <c r="D29" s="1" t="n">
        <v>46033</v>
      </c>
      <c r="E29" s="1" t="n">
        <v>46235</v>
      </c>
      <c r="F29" t="inlineStr">
        <is>
          <t>NORRBOTTENS LÄN</t>
        </is>
      </c>
      <c r="G29" t="inlineStr">
        <is>
          <t>ARJEPLOG</t>
        </is>
      </c>
      <c r="H29" t="inlineStr">
        <is>
          <t>Övriga statliga verk och myndigheter</t>
        </is>
      </c>
      <c r="I29" t="n">
        <v>6.2</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1478-2026 artfynd.xlsx", "A 1478-2026")</f>
        <v/>
      </c>
      <c r="X29">
        <f>HYPERLINK("https://klasma.github.io/Logging_2506/kartor/A 1478-2026 karta.png", "A 1478-2026")</f>
        <v/>
      </c>
      <c r="Y29">
        <f>HYPERLINK("https://klasma.github.io/Logging_2506/kartor_geotiff/A 1478-2026 georefererad karta.tif", "A 1478-2026")</f>
        <v/>
      </c>
      <c r="AA29">
        <f>HYPERLINK("https://klasma.github.io/Logging_2506/klagomål/A 1478-2026 FSC-klagomål.docx", "A 1478-2026")</f>
        <v/>
      </c>
      <c r="AB29">
        <f>HYPERLINK("https://klasma.github.io/Logging_2506/klagomålsmail/A 1478-2026 FSC-klagomål mail.docx", "A 1478-2026")</f>
        <v/>
      </c>
      <c r="AC29">
        <f>HYPERLINK("https://klasma.github.io/Logging_2506/tillsyn/A 1478-2026 tillsynsbegäran.docx", "A 1478-2026")</f>
        <v/>
      </c>
      <c r="AD29">
        <f>HYPERLINK("https://klasma.github.io/Logging_2506/tillsynsmail/A 1478-2026 tillsynsbegäran mail.docx", "A 1478-2026")</f>
        <v/>
      </c>
      <c r="AE29">
        <f>HYPERLINK("https://klasma.github.io/Logging_2506/fåglar/A 1478-2026 prioriterade fågelarter.docx", "A 1478-2026")</f>
        <v/>
      </c>
    </row>
    <row r="30" ht="15" customHeight="1">
      <c r="A30" t="inlineStr">
        <is>
          <t>A 45032-2023</t>
        </is>
      </c>
      <c r="B30" t="inlineStr">
        <is>
          <t>avverkningsanmälan</t>
        </is>
      </c>
      <c r="C30" t="inlineStr">
        <is>
          <t>Föryngringsavverkning</t>
        </is>
      </c>
      <c r="D30" s="1" t="n">
        <v>45190</v>
      </c>
      <c r="E30" s="1" t="n">
        <v>46235</v>
      </c>
      <c r="F30" t="inlineStr">
        <is>
          <t>NORRBOTTENS LÄN</t>
        </is>
      </c>
      <c r="G30" t="inlineStr">
        <is>
          <t>ARJEPLOG</t>
        </is>
      </c>
      <c r="H30" t="inlineStr">
        <is>
          <t>Övriga statliga verk och myndigheter</t>
        </is>
      </c>
      <c r="I30" t="n">
        <v>6.3</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45032-2023 artfynd.xlsx", "A 45032-2023")</f>
        <v/>
      </c>
      <c r="X30">
        <f>HYPERLINK("https://klasma.github.io/Logging_2506/kartor/A 45032-2023 karta.png", "A 45032-2023")</f>
        <v/>
      </c>
      <c r="Y30">
        <f>HYPERLINK("https://klasma.github.io/Logging_2506/kartor_geotiff/A 45032-2023 georefererad karta.tif", "A 45032-2023")</f>
        <v/>
      </c>
      <c r="AA30">
        <f>HYPERLINK("https://klasma.github.io/Logging_2506/klagomål/A 45032-2023 FSC-klagomål.docx", "A 45032-2023")</f>
        <v/>
      </c>
      <c r="AB30">
        <f>HYPERLINK("https://klasma.github.io/Logging_2506/klagomålsmail/A 45032-2023 FSC-klagomål mail.docx", "A 45032-2023")</f>
        <v/>
      </c>
      <c r="AC30">
        <f>HYPERLINK("https://klasma.github.io/Logging_2506/tillsyn/A 45032-2023 tillsynsbegäran.docx", "A 45032-2023")</f>
        <v/>
      </c>
      <c r="AD30">
        <f>HYPERLINK("https://klasma.github.io/Logging_2506/tillsynsmail/A 45032-2023 tillsynsbegäran mail.docx", "A 45032-2023")</f>
        <v/>
      </c>
      <c r="AE30">
        <f>HYPERLINK("https://klasma.github.io/Logging_2506/fåglar/A 45032-2023 prioriterade fågelarter.docx", "A 45032-2023")</f>
        <v/>
      </c>
    </row>
    <row r="31" ht="15" customHeight="1">
      <c r="A31" t="inlineStr">
        <is>
          <t>A 48673-2023</t>
        </is>
      </c>
      <c r="B31" t="inlineStr">
        <is>
          <t>avverkningsanmälan</t>
        </is>
      </c>
      <c r="C31" t="inlineStr">
        <is>
          <t>Föryngringsavverkning</t>
        </is>
      </c>
      <c r="D31" s="1" t="n">
        <v>45203</v>
      </c>
      <c r="E31" s="1" t="n">
        <v>46235</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46235</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46235</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46235</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46235</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46235</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46235</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46235</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46235</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45324-2022</t>
        </is>
      </c>
      <c r="B40" t="inlineStr">
        <is>
          <t>avverkningsanmälan</t>
        </is>
      </c>
      <c r="C40" t="inlineStr">
        <is>
          <t>Föryngringsavverkning</t>
        </is>
      </c>
      <c r="D40" s="1" t="n">
        <v>44841</v>
      </c>
      <c r="E40" s="1" t="n">
        <v>46235</v>
      </c>
      <c r="F40" t="inlineStr">
        <is>
          <t>NORRBOTTENS LÄN</t>
        </is>
      </c>
      <c r="G40" t="inlineStr">
        <is>
          <t>ARJEPLOG</t>
        </is>
      </c>
      <c r="I40" t="n">
        <v>23.2</v>
      </c>
      <c r="J40" t="n">
        <v>2</v>
      </c>
      <c r="K40" t="n">
        <v>0</v>
      </c>
      <c r="L40" t="n">
        <v>0</v>
      </c>
      <c r="M40" t="n">
        <v>1</v>
      </c>
      <c r="N40" t="n">
        <v>0</v>
      </c>
      <c r="O40" t="n">
        <v>0</v>
      </c>
      <c r="P40" t="n">
        <v>0</v>
      </c>
      <c r="Q40" t="n">
        <v>1</v>
      </c>
      <c r="R40" t="n">
        <v>1</v>
      </c>
      <c r="S40" t="n">
        <v>2</v>
      </c>
      <c r="T40" t="n">
        <v>2</v>
      </c>
      <c r="U40" t="n">
        <v>0</v>
      </c>
      <c r="V40" s="2" t="inlineStr">
        <is>
          <t>Bergand
Sångsvan</t>
        </is>
      </c>
      <c r="W40">
        <f>HYPERLINK("https://klasma.github.io/Logging_2506/artfynd/A 45324-2022 artfynd.xlsx", "A 45324-2022")</f>
        <v/>
      </c>
      <c r="X40">
        <f>HYPERLINK("https://klasma.github.io/Logging_2506/kartor/A 45324-2022 karta.png", "A 45324-2022")</f>
        <v/>
      </c>
      <c r="Y40">
        <f>HYPERLINK("https://klasma.github.io/Logging_2506/kartor_geotiff/A 45324-2022 georefererad karta.tif", "A 45324-2022")</f>
        <v/>
      </c>
      <c r="AA40">
        <f>HYPERLINK("https://klasma.github.io/Logging_2506/klagomål/A 45324-2022 FSC-klagomål.docx", "A 45324-2022")</f>
        <v/>
      </c>
      <c r="AB40">
        <f>HYPERLINK("https://klasma.github.io/Logging_2506/klagomålsmail/A 45324-2022 FSC-klagomål mail.docx", "A 45324-2022")</f>
        <v/>
      </c>
      <c r="AC40">
        <f>HYPERLINK("https://klasma.github.io/Logging_2506/tillsyn/A 45324-2022 tillsynsbegäran.docx", "A 45324-2022")</f>
        <v/>
      </c>
      <c r="AD40">
        <f>HYPERLINK("https://klasma.github.io/Logging_2506/tillsynsmail/A 45324-2022 tillsynsbegäran mail.docx", "A 45324-2022")</f>
        <v/>
      </c>
      <c r="AE40">
        <f>HYPERLINK("https://klasma.github.io/Logging_2506/fåglar/A 45324-2022 prioriterade fågelarter.docx", "A 45324-2022")</f>
        <v/>
      </c>
    </row>
    <row r="41" ht="15" customHeight="1">
      <c r="A41" t="inlineStr">
        <is>
          <t>A 41375-2024</t>
        </is>
      </c>
      <c r="B41" t="inlineStr">
        <is>
          <t>avverkningsanmälan</t>
        </is>
      </c>
      <c r="C41" t="inlineStr">
        <is>
          <t>Avverkning för annat ändamål</t>
        </is>
      </c>
      <c r="D41" s="1" t="n">
        <v>45559</v>
      </c>
      <c r="E41" s="1" t="n">
        <v>46235</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12789-2022</t>
        </is>
      </c>
      <c r="B42" t="inlineStr">
        <is>
          <t>avverkningsanmälan</t>
        </is>
      </c>
      <c r="C42" t="inlineStr">
        <is>
          <t>Föryngringsavverkning</t>
        </is>
      </c>
      <c r="D42" s="1" t="n">
        <v>44642</v>
      </c>
      <c r="E42" s="1" t="n">
        <v>46235</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46235</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20905-2025</t>
        </is>
      </c>
      <c r="B44" t="inlineStr">
        <is>
          <t>avverkningsanmälan</t>
        </is>
      </c>
      <c r="C44" t="inlineStr">
        <is>
          <t>Föryngringsavverkning</t>
        </is>
      </c>
      <c r="D44" s="1" t="n">
        <v>45777</v>
      </c>
      <c r="E44" s="1" t="n">
        <v>46235</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46235</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46235</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46235</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46235</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46235</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46235</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46235</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46235</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46235</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46235</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46235</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46235</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46235</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26103-2024</t>
        </is>
      </c>
      <c r="B58" t="inlineStr">
        <is>
          <t>avverkningsanmälan</t>
        </is>
      </c>
      <c r="C58" t="inlineStr">
        <is>
          <t>Föryngringsavverkning</t>
        </is>
      </c>
      <c r="D58" s="1" t="n">
        <v>45467</v>
      </c>
      <c r="E58" s="1" t="n">
        <v>46235</v>
      </c>
      <c r="F58" t="inlineStr">
        <is>
          <t>NORRBOTTENS LÄN</t>
        </is>
      </c>
      <c r="G58" t="inlineStr">
        <is>
          <t>ARJEPLOG</t>
        </is>
      </c>
      <c r="I58" t="n">
        <v>17.2</v>
      </c>
      <c r="J58" t="n">
        <v>0</v>
      </c>
      <c r="K58" t="n">
        <v>0</v>
      </c>
      <c r="L58" t="n">
        <v>0</v>
      </c>
      <c r="M58" t="n">
        <v>0</v>
      </c>
      <c r="N58" t="n">
        <v>0</v>
      </c>
      <c r="O58" t="n">
        <v>0</v>
      </c>
      <c r="P58" t="n">
        <v>0</v>
      </c>
      <c r="Q58" t="n">
        <v>0</v>
      </c>
      <c r="R58" t="n">
        <v>0</v>
      </c>
      <c r="S58" t="n">
        <v>0</v>
      </c>
      <c r="T58" t="n">
        <v>0</v>
      </c>
      <c r="U58" t="n">
        <v>0</v>
      </c>
      <c r="V58" s="2" t="inlineStr"/>
    </row>
    <row r="59" ht="15" customHeight="1">
      <c r="A59" t="inlineStr">
        <is>
          <t>A 46585-2021</t>
        </is>
      </c>
      <c r="B59" t="inlineStr">
        <is>
          <t>avverkningsanmälan</t>
        </is>
      </c>
      <c r="C59" t="inlineStr">
        <is>
          <t>Föryngringsavverkning</t>
        </is>
      </c>
      <c r="D59" s="1" t="n">
        <v>44445</v>
      </c>
      <c r="E59" s="1" t="n">
        <v>46235</v>
      </c>
      <c r="F59" t="inlineStr">
        <is>
          <t>NORRBOTTENS LÄN</t>
        </is>
      </c>
      <c r="G59" t="inlineStr">
        <is>
          <t>ARJEPLOG</t>
        </is>
      </c>
      <c r="H59" t="inlineStr">
        <is>
          <t>Övriga statliga verk och myndigheter</t>
        </is>
      </c>
      <c r="I59" t="n">
        <v>11.1</v>
      </c>
      <c r="J59" t="n">
        <v>0</v>
      </c>
      <c r="K59" t="n">
        <v>0</v>
      </c>
      <c r="L59" t="n">
        <v>0</v>
      </c>
      <c r="M59" t="n">
        <v>0</v>
      </c>
      <c r="N59" t="n">
        <v>0</v>
      </c>
      <c r="O59" t="n">
        <v>0</v>
      </c>
      <c r="P59" t="n">
        <v>0</v>
      </c>
      <c r="Q59" t="n">
        <v>0</v>
      </c>
      <c r="R59" t="n">
        <v>0</v>
      </c>
      <c r="S59" t="n">
        <v>0</v>
      </c>
      <c r="T59" t="n">
        <v>0</v>
      </c>
      <c r="U59" t="n">
        <v>0</v>
      </c>
      <c r="V59" s="2" t="inlineStr"/>
    </row>
    <row r="60" ht="15" customHeight="1">
      <c r="A60" t="inlineStr">
        <is>
          <t>A 56785-2024</t>
        </is>
      </c>
      <c r="B60" t="inlineStr">
        <is>
          <t>avverkningsanmälan</t>
        </is>
      </c>
      <c r="C60" t="inlineStr">
        <is>
          <t>Föryngringsavverkning</t>
        </is>
      </c>
      <c r="D60" s="1" t="n">
        <v>45625</v>
      </c>
      <c r="E60" s="1" t="n">
        <v>46235</v>
      </c>
      <c r="F60" t="inlineStr">
        <is>
          <t>NORRBOTTENS LÄN</t>
        </is>
      </c>
      <c r="G60" t="inlineStr">
        <is>
          <t>ARJEPLOG</t>
        </is>
      </c>
      <c r="I60" t="n">
        <v>11.2</v>
      </c>
      <c r="J60" t="n">
        <v>0</v>
      </c>
      <c r="K60" t="n">
        <v>0</v>
      </c>
      <c r="L60" t="n">
        <v>0</v>
      </c>
      <c r="M60" t="n">
        <v>0</v>
      </c>
      <c r="N60" t="n">
        <v>0</v>
      </c>
      <c r="O60" t="n">
        <v>0</v>
      </c>
      <c r="P60" t="n">
        <v>0</v>
      </c>
      <c r="Q60" t="n">
        <v>0</v>
      </c>
      <c r="R60" t="n">
        <v>0</v>
      </c>
      <c r="S60" t="n">
        <v>0</v>
      </c>
      <c r="T60" t="n">
        <v>0</v>
      </c>
      <c r="U60" t="n">
        <v>0</v>
      </c>
      <c r="V60" s="2" t="inlineStr"/>
    </row>
    <row r="61" ht="15" customHeight="1">
      <c r="A61" t="inlineStr">
        <is>
          <t>A 55124-2024</t>
        </is>
      </c>
      <c r="B61" t="inlineStr">
        <is>
          <t>avverkningsanmälan</t>
        </is>
      </c>
      <c r="C61" t="inlineStr">
        <is>
          <t>Föryngringsavverkning</t>
        </is>
      </c>
      <c r="D61" s="1" t="n">
        <v>45618</v>
      </c>
      <c r="E61" s="1" t="n">
        <v>46235</v>
      </c>
      <c r="F61" t="inlineStr">
        <is>
          <t>NORRBOTTENS LÄN</t>
        </is>
      </c>
      <c r="G61" t="inlineStr">
        <is>
          <t>ARJEPLOG</t>
        </is>
      </c>
      <c r="I61" t="n">
        <v>18.3</v>
      </c>
      <c r="J61" t="n">
        <v>0</v>
      </c>
      <c r="K61" t="n">
        <v>0</v>
      </c>
      <c r="L61" t="n">
        <v>0</v>
      </c>
      <c r="M61" t="n">
        <v>0</v>
      </c>
      <c r="N61" t="n">
        <v>0</v>
      </c>
      <c r="O61" t="n">
        <v>0</v>
      </c>
      <c r="P61" t="n">
        <v>0</v>
      </c>
      <c r="Q61" t="n">
        <v>0</v>
      </c>
      <c r="R61" t="n">
        <v>0</v>
      </c>
      <c r="S61" t="n">
        <v>0</v>
      </c>
      <c r="T61" t="n">
        <v>0</v>
      </c>
      <c r="U61" t="n">
        <v>0</v>
      </c>
      <c r="V61" s="2" t="inlineStr"/>
    </row>
    <row r="62" ht="15" customHeight="1">
      <c r="A62" t="inlineStr">
        <is>
          <t>A 46910-2024</t>
        </is>
      </c>
      <c r="B62" t="inlineStr">
        <is>
          <t>avverkningsanmälan</t>
        </is>
      </c>
      <c r="C62" t="inlineStr">
        <is>
          <t>Föryngringsavverkning</t>
        </is>
      </c>
      <c r="D62" s="1" t="n">
        <v>45583</v>
      </c>
      <c r="E62" s="1" t="n">
        <v>46235</v>
      </c>
      <c r="F62" t="inlineStr">
        <is>
          <t>NORRBOTTENS LÄN</t>
        </is>
      </c>
      <c r="G62" t="inlineStr">
        <is>
          <t>ARJEPLOG</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58370-2023</t>
        </is>
      </c>
      <c r="B63" t="inlineStr">
        <is>
          <t>avverkningsanmälan</t>
        </is>
      </c>
      <c r="C63" t="inlineStr">
        <is>
          <t>Avverkning för att bevara och utveckla /försöksver</t>
        </is>
      </c>
      <c r="D63" s="1" t="n">
        <v>45250</v>
      </c>
      <c r="E63" s="1" t="n">
        <v>46235</v>
      </c>
      <c r="F63" t="inlineStr">
        <is>
          <t>NORRBOTTENS LÄN</t>
        </is>
      </c>
      <c r="G63" t="inlineStr">
        <is>
          <t>ARJEPLOG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35194-2024</t>
        </is>
      </c>
      <c r="B64" t="inlineStr">
        <is>
          <t>avverkningsanmälan</t>
        </is>
      </c>
      <c r="C64" t="inlineStr">
        <is>
          <t>Föryngringsavverkning</t>
        </is>
      </c>
      <c r="D64" s="1" t="n">
        <v>45530</v>
      </c>
      <c r="E64" s="1" t="n">
        <v>46235</v>
      </c>
      <c r="F64" t="inlineStr">
        <is>
          <t>NORRBOTTENS LÄN</t>
        </is>
      </c>
      <c r="G64" t="inlineStr">
        <is>
          <t>ARJEPLOG</t>
        </is>
      </c>
      <c r="I64" t="n">
        <v>20.1</v>
      </c>
      <c r="J64" t="n">
        <v>0</v>
      </c>
      <c r="K64" t="n">
        <v>0</v>
      </c>
      <c r="L64" t="n">
        <v>0</v>
      </c>
      <c r="M64" t="n">
        <v>0</v>
      </c>
      <c r="N64" t="n">
        <v>0</v>
      </c>
      <c r="O64" t="n">
        <v>0</v>
      </c>
      <c r="P64" t="n">
        <v>0</v>
      </c>
      <c r="Q64" t="n">
        <v>0</v>
      </c>
      <c r="R64" t="n">
        <v>0</v>
      </c>
      <c r="S64" t="n">
        <v>0</v>
      </c>
      <c r="T64" t="n">
        <v>0</v>
      </c>
      <c r="U64" t="n">
        <v>0</v>
      </c>
      <c r="V64" s="2" t="inlineStr"/>
    </row>
    <row r="65" ht="15" customHeight="1">
      <c r="A65" t="inlineStr">
        <is>
          <t>A 526-2025</t>
        </is>
      </c>
      <c r="B65" t="inlineStr">
        <is>
          <t>avverkningsanmälan</t>
        </is>
      </c>
      <c r="C65" t="inlineStr">
        <is>
          <t>Avverkning för annat ändamål</t>
        </is>
      </c>
      <c r="D65" s="1" t="n">
        <v>45664</v>
      </c>
      <c r="E65" s="1" t="n">
        <v>46235</v>
      </c>
      <c r="F65" t="inlineStr">
        <is>
          <t>NORRBOTTENS LÄN</t>
        </is>
      </c>
      <c r="G65" t="inlineStr">
        <is>
          <t>ARJEPLOG</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64832-2023</t>
        </is>
      </c>
      <c r="B66" t="inlineStr">
        <is>
          <t>avverkningsanmälan</t>
        </is>
      </c>
      <c r="C66" t="inlineStr">
        <is>
          <t>Föryngringsavverkning</t>
        </is>
      </c>
      <c r="D66" s="1" t="n">
        <v>45281</v>
      </c>
      <c r="E66" s="1" t="n">
        <v>46235</v>
      </c>
      <c r="F66" t="inlineStr">
        <is>
          <t>NORRBOTTENS LÄN</t>
        </is>
      </c>
      <c r="G66" t="inlineStr">
        <is>
          <t>ARJEPLOG</t>
        </is>
      </c>
      <c r="I66" t="n">
        <v>43.6</v>
      </c>
      <c r="J66" t="n">
        <v>0</v>
      </c>
      <c r="K66" t="n">
        <v>0</v>
      </c>
      <c r="L66" t="n">
        <v>0</v>
      </c>
      <c r="M66" t="n">
        <v>0</v>
      </c>
      <c r="N66" t="n">
        <v>0</v>
      </c>
      <c r="O66" t="n">
        <v>0</v>
      </c>
      <c r="P66" t="n">
        <v>0</v>
      </c>
      <c r="Q66" t="n">
        <v>0</v>
      </c>
      <c r="R66" t="n">
        <v>0</v>
      </c>
      <c r="S66" t="n">
        <v>0</v>
      </c>
      <c r="T66" t="n">
        <v>0</v>
      </c>
      <c r="U66" t="n">
        <v>0</v>
      </c>
      <c r="V66" s="2" t="inlineStr"/>
    </row>
    <row r="67" ht="15" customHeight="1">
      <c r="A67" t="inlineStr">
        <is>
          <t>A 36623-2023</t>
        </is>
      </c>
      <c r="B67" t="inlineStr">
        <is>
          <t>avverkningsanmälan</t>
        </is>
      </c>
      <c r="C67" t="inlineStr">
        <is>
          <t>Föryngringsavverkning</t>
        </is>
      </c>
      <c r="D67" s="1" t="n">
        <v>45153</v>
      </c>
      <c r="E67" s="1" t="n">
        <v>46235</v>
      </c>
      <c r="F67" t="inlineStr">
        <is>
          <t>NORRBOTTENS LÄN</t>
        </is>
      </c>
      <c r="G67" t="inlineStr">
        <is>
          <t>ARJEPLOG</t>
        </is>
      </c>
      <c r="H67" t="inlineStr">
        <is>
          <t>Sveaskog</t>
        </is>
      </c>
      <c r="I67" t="n">
        <v>16.9</v>
      </c>
      <c r="J67" t="n">
        <v>0</v>
      </c>
      <c r="K67" t="n">
        <v>0</v>
      </c>
      <c r="L67" t="n">
        <v>0</v>
      </c>
      <c r="M67" t="n">
        <v>0</v>
      </c>
      <c r="N67" t="n">
        <v>0</v>
      </c>
      <c r="O67" t="n">
        <v>0</v>
      </c>
      <c r="P67" t="n">
        <v>0</v>
      </c>
      <c r="Q67" t="n">
        <v>0</v>
      </c>
      <c r="R67" t="n">
        <v>0</v>
      </c>
      <c r="S67" t="n">
        <v>0</v>
      </c>
      <c r="T67" t="n">
        <v>0</v>
      </c>
      <c r="U67" t="n">
        <v>0</v>
      </c>
      <c r="V67" s="2" t="inlineStr"/>
    </row>
    <row r="68" ht="15" customHeight="1">
      <c r="A68" t="inlineStr">
        <is>
          <t>A 26486-2024</t>
        </is>
      </c>
      <c r="B68" t="inlineStr">
        <is>
          <t>avverkningsanmälan</t>
        </is>
      </c>
      <c r="C68" t="inlineStr">
        <is>
          <t>Föryngringsavverkning</t>
        </is>
      </c>
      <c r="D68" s="1" t="n">
        <v>45469</v>
      </c>
      <c r="E68" s="1" t="n">
        <v>46235</v>
      </c>
      <c r="F68" t="inlineStr">
        <is>
          <t>NORRBOTTENS LÄN</t>
        </is>
      </c>
      <c r="G68" t="inlineStr">
        <is>
          <t>ARJEPLOG</t>
        </is>
      </c>
      <c r="I68" t="n">
        <v>7.1</v>
      </c>
      <c r="J68" t="n">
        <v>0</v>
      </c>
      <c r="K68" t="n">
        <v>0</v>
      </c>
      <c r="L68" t="n">
        <v>0</v>
      </c>
      <c r="M68" t="n">
        <v>0</v>
      </c>
      <c r="N68" t="n">
        <v>0</v>
      </c>
      <c r="O68" t="n">
        <v>0</v>
      </c>
      <c r="P68" t="n">
        <v>0</v>
      </c>
      <c r="Q68" t="n">
        <v>0</v>
      </c>
      <c r="R68" t="n">
        <v>0</v>
      </c>
      <c r="S68" t="n">
        <v>0</v>
      </c>
      <c r="T68" t="n">
        <v>0</v>
      </c>
      <c r="U68" t="n">
        <v>0</v>
      </c>
      <c r="V68" s="2" t="inlineStr"/>
    </row>
    <row r="69" ht="15" customHeight="1">
      <c r="A69" t="inlineStr">
        <is>
          <t>A 35627-2025</t>
        </is>
      </c>
      <c r="B69" t="inlineStr">
        <is>
          <t>avverkningsanmälan</t>
        </is>
      </c>
      <c r="C69" t="inlineStr">
        <is>
          <t>Föryngringsavverkning</t>
        </is>
      </c>
      <c r="D69" s="1" t="n">
        <v>45859</v>
      </c>
      <c r="E69" s="1" t="n">
        <v>46235</v>
      </c>
      <c r="F69" t="inlineStr">
        <is>
          <t>NORRBOTTENS LÄN</t>
        </is>
      </c>
      <c r="G69" t="inlineStr">
        <is>
          <t>ARJEPLOG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20322-2026</t>
        </is>
      </c>
      <c r="B70" t="inlineStr">
        <is>
          <t>avverkningsanmälan</t>
        </is>
      </c>
      <c r="C70" t="inlineStr">
        <is>
          <t>Föryngringsavverkning</t>
        </is>
      </c>
      <c r="D70" s="1" t="n">
        <v>46139</v>
      </c>
      <c r="E70" s="1" t="n">
        <v>46235</v>
      </c>
      <c r="F70" t="inlineStr">
        <is>
          <t>NORRBOTTENS LÄN</t>
        </is>
      </c>
      <c r="G70" t="inlineStr">
        <is>
          <t>ARJEPLOG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23949-2024</t>
        </is>
      </c>
      <c r="B71" t="inlineStr">
        <is>
          <t>avverkningsanmälan</t>
        </is>
      </c>
      <c r="C71" t="inlineStr">
        <is>
          <t>Föryngringsavverkning</t>
        </is>
      </c>
      <c r="D71" s="1" t="n">
        <v>45455</v>
      </c>
      <c r="E71" s="1" t="n">
        <v>46235</v>
      </c>
      <c r="F71" t="inlineStr">
        <is>
          <t>NORRBOTTENS LÄN</t>
        </is>
      </c>
      <c r="G71" t="inlineStr">
        <is>
          <t>ARJEPLOG</t>
        </is>
      </c>
      <c r="H71" t="inlineStr">
        <is>
          <t>SCA</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42331-2025</t>
        </is>
      </c>
      <c r="B72" t="inlineStr">
        <is>
          <t>avverkningsanmälan</t>
        </is>
      </c>
      <c r="C72" t="inlineStr">
        <is>
          <t>Föryngringsavverkning</t>
        </is>
      </c>
      <c r="D72" s="1" t="n">
        <v>45903</v>
      </c>
      <c r="E72" s="1" t="n">
        <v>46235</v>
      </c>
      <c r="F72" t="inlineStr">
        <is>
          <t>NORRBOTTENS LÄN</t>
        </is>
      </c>
      <c r="G72" t="inlineStr">
        <is>
          <t>ARJEPLOG</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20319-2026</t>
        </is>
      </c>
      <c r="B73" t="inlineStr">
        <is>
          <t>avverkningsanmälan</t>
        </is>
      </c>
      <c r="C73" t="inlineStr">
        <is>
          <t>Föryngringsavverkning</t>
        </is>
      </c>
      <c r="D73" s="1" t="n">
        <v>46139</v>
      </c>
      <c r="E73" s="1" t="n">
        <v>46235</v>
      </c>
      <c r="F73" t="inlineStr">
        <is>
          <t>NORRBOTTENS LÄN</t>
        </is>
      </c>
      <c r="G73" t="inlineStr">
        <is>
          <t>ARJEPLOG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20326-2026</t>
        </is>
      </c>
      <c r="B74" t="inlineStr">
        <is>
          <t>avverkningsanmälan</t>
        </is>
      </c>
      <c r="C74" t="inlineStr">
        <is>
          <t>Föryngringsavverkning</t>
        </is>
      </c>
      <c r="D74" s="1" t="n">
        <v>46139</v>
      </c>
      <c r="E74" s="1" t="n">
        <v>46235</v>
      </c>
      <c r="F74" t="inlineStr">
        <is>
          <t>NORRBOTTENS LÄN</t>
        </is>
      </c>
      <c r="G74" t="inlineStr">
        <is>
          <t>ARJEPLOG</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26472-2024</t>
        </is>
      </c>
      <c r="B75" t="inlineStr">
        <is>
          <t>avverkningsanmälan</t>
        </is>
      </c>
      <c r="C75" t="inlineStr">
        <is>
          <t>Föryngringsavverkning</t>
        </is>
      </c>
      <c r="D75" s="1" t="n">
        <v>45469</v>
      </c>
      <c r="E75" s="1" t="n">
        <v>46235</v>
      </c>
      <c r="F75" t="inlineStr">
        <is>
          <t>NORRBOTTENS LÄN</t>
        </is>
      </c>
      <c r="G75" t="inlineStr">
        <is>
          <t>ARJEPLOG</t>
        </is>
      </c>
      <c r="I75" t="n">
        <v>8.199999999999999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42597-2025</t>
        </is>
      </c>
      <c r="B76" t="inlineStr">
        <is>
          <t>avverkningsanmälan</t>
        </is>
      </c>
      <c r="C76" t="inlineStr">
        <is>
          <t>Föryngringsavverkning</t>
        </is>
      </c>
      <c r="D76" s="1" t="n">
        <v>45905</v>
      </c>
      <c r="E76" s="1" t="n">
        <v>46235</v>
      </c>
      <c r="F76" t="inlineStr">
        <is>
          <t>NORRBOTTENS LÄN</t>
        </is>
      </c>
      <c r="G76" t="inlineStr">
        <is>
          <t>ARJEPLOG</t>
        </is>
      </c>
      <c r="I76" t="n">
        <v>9.199999999999999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42526-2025</t>
        </is>
      </c>
      <c r="B77" t="inlineStr">
        <is>
          <t>avverkningsanmälan</t>
        </is>
      </c>
      <c r="C77" t="inlineStr">
        <is>
          <t>Föryngringsavverkning</t>
        </is>
      </c>
      <c r="D77" s="1" t="n">
        <v>45905</v>
      </c>
      <c r="E77" s="1" t="n">
        <v>46235</v>
      </c>
      <c r="F77" t="inlineStr">
        <is>
          <t>NORRBOTTENS LÄN</t>
        </is>
      </c>
      <c r="G77" t="inlineStr">
        <is>
          <t>ARJEPLOG</t>
        </is>
      </c>
      <c r="I77" t="n">
        <v>12.5</v>
      </c>
      <c r="J77" t="n">
        <v>0</v>
      </c>
      <c r="K77" t="n">
        <v>0</v>
      </c>
      <c r="L77" t="n">
        <v>0</v>
      </c>
      <c r="M77" t="n">
        <v>0</v>
      </c>
      <c r="N77" t="n">
        <v>0</v>
      </c>
      <c r="O77" t="n">
        <v>0</v>
      </c>
      <c r="P77" t="n">
        <v>0</v>
      </c>
      <c r="Q77" t="n">
        <v>0</v>
      </c>
      <c r="R77" t="n">
        <v>0</v>
      </c>
      <c r="S77" t="n">
        <v>0</v>
      </c>
      <c r="T77" t="n">
        <v>0</v>
      </c>
      <c r="U77" t="n">
        <v>0</v>
      </c>
      <c r="V77" s="2" t="inlineStr"/>
    </row>
    <row r="78" ht="15" customHeight="1">
      <c r="A78" t="inlineStr">
        <is>
          <t>A 55422-2021</t>
        </is>
      </c>
      <c r="B78" t="inlineStr">
        <is>
          <t>avverkningsanmälan</t>
        </is>
      </c>
      <c r="C78" t="inlineStr">
        <is>
          <t>Avverkning för annat ändamål</t>
        </is>
      </c>
      <c r="D78" s="1" t="n">
        <v>44475</v>
      </c>
      <c r="E78" s="1" t="n">
        <v>46235</v>
      </c>
      <c r="F78" t="inlineStr">
        <is>
          <t>NORRBOTTENS LÄN</t>
        </is>
      </c>
      <c r="G78" t="inlineStr">
        <is>
          <t>ARJEPLOG</t>
        </is>
      </c>
      <c r="H78" t="inlineStr">
        <is>
          <t>Sveaskog</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50255-2023</t>
        </is>
      </c>
      <c r="B79" t="inlineStr">
        <is>
          <t>avverkningsanmälan</t>
        </is>
      </c>
      <c r="C79" t="inlineStr">
        <is>
          <t>Föryngringsavverkning</t>
        </is>
      </c>
      <c r="D79" s="1" t="n">
        <v>45216</v>
      </c>
      <c r="E79" s="1" t="n">
        <v>46235</v>
      </c>
      <c r="F79" t="inlineStr">
        <is>
          <t>NORRBOTTENS LÄN</t>
        </is>
      </c>
      <c r="G79" t="inlineStr">
        <is>
          <t>ARJEPLOG</t>
        </is>
      </c>
      <c r="I79" t="n">
        <v>20</v>
      </c>
      <c r="J79" t="n">
        <v>0</v>
      </c>
      <c r="K79" t="n">
        <v>0</v>
      </c>
      <c r="L79" t="n">
        <v>0</v>
      </c>
      <c r="M79" t="n">
        <v>0</v>
      </c>
      <c r="N79" t="n">
        <v>0</v>
      </c>
      <c r="O79" t="n">
        <v>0</v>
      </c>
      <c r="P79" t="n">
        <v>0</v>
      </c>
      <c r="Q79" t="n">
        <v>0</v>
      </c>
      <c r="R79" t="n">
        <v>0</v>
      </c>
      <c r="S79" t="n">
        <v>0</v>
      </c>
      <c r="T79" t="n">
        <v>0</v>
      </c>
      <c r="U79" t="n">
        <v>0</v>
      </c>
      <c r="V79" s="2" t="inlineStr"/>
    </row>
    <row r="80" ht="15" customHeight="1">
      <c r="A80" t="inlineStr">
        <is>
          <t>A 46747-2025</t>
        </is>
      </c>
      <c r="B80" t="inlineStr">
        <is>
          <t>avverkningsanmälan</t>
        </is>
      </c>
      <c r="C80" t="inlineStr">
        <is>
          <t>Föryngringsavverkning</t>
        </is>
      </c>
      <c r="D80" s="1" t="n">
        <v>45926</v>
      </c>
      <c r="E80" s="1" t="n">
        <v>46235</v>
      </c>
      <c r="F80" t="inlineStr">
        <is>
          <t>NORRBOTTENS LÄN</t>
        </is>
      </c>
      <c r="G80" t="inlineStr">
        <is>
          <t>ARJEPLOG</t>
        </is>
      </c>
      <c r="I80" t="n">
        <v>19.7</v>
      </c>
      <c r="J80" t="n">
        <v>0</v>
      </c>
      <c r="K80" t="n">
        <v>0</v>
      </c>
      <c r="L80" t="n">
        <v>0</v>
      </c>
      <c r="M80" t="n">
        <v>0</v>
      </c>
      <c r="N80" t="n">
        <v>0</v>
      </c>
      <c r="O80" t="n">
        <v>0</v>
      </c>
      <c r="P80" t="n">
        <v>0</v>
      </c>
      <c r="Q80" t="n">
        <v>0</v>
      </c>
      <c r="R80" t="n">
        <v>0</v>
      </c>
      <c r="S80" t="n">
        <v>0</v>
      </c>
      <c r="T80" t="n">
        <v>0</v>
      </c>
      <c r="U80" t="n">
        <v>0</v>
      </c>
      <c r="V80" s="2" t="inlineStr"/>
    </row>
    <row r="81" ht="15" customHeight="1">
      <c r="A81" t="inlineStr">
        <is>
          <t>A 48987-2025</t>
        </is>
      </c>
      <c r="B81" t="inlineStr">
        <is>
          <t>avverkningsanmälan</t>
        </is>
      </c>
      <c r="C81" t="inlineStr">
        <is>
          <t>Avverkning för annat ändamål</t>
        </is>
      </c>
      <c r="D81" s="1" t="n">
        <v>45937</v>
      </c>
      <c r="E81" s="1" t="n">
        <v>46235</v>
      </c>
      <c r="F81" t="inlineStr">
        <is>
          <t>NORRBOTTENS LÄN</t>
        </is>
      </c>
      <c r="G81" t="inlineStr">
        <is>
          <t>ARJEPLOG</t>
        </is>
      </c>
      <c r="H81" t="inlineStr">
        <is>
          <t>Sveaskog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27092-2022</t>
        </is>
      </c>
      <c r="B82" t="inlineStr">
        <is>
          <t>avverkningsanmälan</t>
        </is>
      </c>
      <c r="C82" t="inlineStr">
        <is>
          <t>Föryngringsavverkning</t>
        </is>
      </c>
      <c r="D82" s="1" t="n">
        <v>44741</v>
      </c>
      <c r="E82" s="1" t="n">
        <v>46235</v>
      </c>
      <c r="F82" t="inlineStr">
        <is>
          <t>NORRBOTTENS LÄN</t>
        </is>
      </c>
      <c r="G82" t="inlineStr">
        <is>
          <t>ARJEPLOG</t>
        </is>
      </c>
      <c r="I82" t="n">
        <v>15.6</v>
      </c>
      <c r="J82" t="n">
        <v>0</v>
      </c>
      <c r="K82" t="n">
        <v>0</v>
      </c>
      <c r="L82" t="n">
        <v>0</v>
      </c>
      <c r="M82" t="n">
        <v>0</v>
      </c>
      <c r="N82" t="n">
        <v>0</v>
      </c>
      <c r="O82" t="n">
        <v>0</v>
      </c>
      <c r="P82" t="n">
        <v>0</v>
      </c>
      <c r="Q82" t="n">
        <v>0</v>
      </c>
      <c r="R82" t="n">
        <v>0</v>
      </c>
      <c r="S82" t="n">
        <v>0</v>
      </c>
      <c r="T82" t="n">
        <v>0</v>
      </c>
      <c r="U82" t="n">
        <v>0</v>
      </c>
      <c r="V82" s="2" t="inlineStr"/>
    </row>
    <row r="83" ht="15" customHeight="1">
      <c r="A83" t="inlineStr">
        <is>
          <t>A 27836-2026</t>
        </is>
      </c>
      <c r="B83" t="inlineStr">
        <is>
          <t>avverkningsanmälan</t>
        </is>
      </c>
      <c r="C83" t="inlineStr">
        <is>
          <t>Avverkning för annat ändamål</t>
        </is>
      </c>
      <c r="D83" s="1" t="n">
        <v>46189</v>
      </c>
      <c r="E83" s="1" t="n">
        <v>46235</v>
      </c>
      <c r="F83" t="inlineStr">
        <is>
          <t>NORRBOTTENS LÄN</t>
        </is>
      </c>
      <c r="G83" t="inlineStr">
        <is>
          <t>ARJEPLOG</t>
        </is>
      </c>
      <c r="H83" t="inlineStr">
        <is>
          <t>Sveaskog</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28354-2022</t>
        </is>
      </c>
      <c r="B84" t="inlineStr">
        <is>
          <t>avverkningsanmälan</t>
        </is>
      </c>
      <c r="C84" t="inlineStr">
        <is>
          <t>Avverkning för annat ändamål</t>
        </is>
      </c>
      <c r="D84" s="1" t="n">
        <v>44735</v>
      </c>
      <c r="E84" s="1" t="n">
        <v>46235</v>
      </c>
      <c r="F84" t="inlineStr">
        <is>
          <t>NORRBOTTENS LÄN</t>
        </is>
      </c>
      <c r="G84" t="inlineStr">
        <is>
          <t>ARJEPLOG</t>
        </is>
      </c>
      <c r="H84" t="inlineStr">
        <is>
          <t>Övriga statliga verk och myndigheter</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28804-2026</t>
        </is>
      </c>
      <c r="B85" t="inlineStr">
        <is>
          <t>avverkningsanmälan</t>
        </is>
      </c>
      <c r="C85" t="inlineStr">
        <is>
          <t>Föryngringsavverkning</t>
        </is>
      </c>
      <c r="D85" s="1" t="n">
        <v>46198</v>
      </c>
      <c r="E85" s="1" t="n">
        <v>46235</v>
      </c>
      <c r="F85" t="inlineStr">
        <is>
          <t>NORRBOTTENS LÄN</t>
        </is>
      </c>
      <c r="G85" t="inlineStr">
        <is>
          <t>ARJEPLOG</t>
        </is>
      </c>
      <c r="H85" t="inlineStr">
        <is>
          <t>Allmännings- och besparingsskogar</t>
        </is>
      </c>
      <c r="I85" t="n">
        <v>11.5</v>
      </c>
      <c r="J85" t="n">
        <v>0</v>
      </c>
      <c r="K85" t="n">
        <v>0</v>
      </c>
      <c r="L85" t="n">
        <v>0</v>
      </c>
      <c r="M85" t="n">
        <v>0</v>
      </c>
      <c r="N85" t="n">
        <v>0</v>
      </c>
      <c r="O85" t="n">
        <v>0</v>
      </c>
      <c r="P85" t="n">
        <v>0</v>
      </c>
      <c r="Q85" t="n">
        <v>0</v>
      </c>
      <c r="R85" t="n">
        <v>0</v>
      </c>
      <c r="S85" t="n">
        <v>0</v>
      </c>
      <c r="T85" t="n">
        <v>0</v>
      </c>
      <c r="U85" t="n">
        <v>0</v>
      </c>
      <c r="V85" s="2" t="inlineStr"/>
    </row>
    <row r="86" ht="15" customHeight="1">
      <c r="A86" t="inlineStr">
        <is>
          <t>A 28799-2026</t>
        </is>
      </c>
      <c r="B86" t="inlineStr">
        <is>
          <t>avverkningsanmälan</t>
        </is>
      </c>
      <c r="C86" t="inlineStr">
        <is>
          <t>Föryngringsavverkning</t>
        </is>
      </c>
      <c r="D86" s="1" t="n">
        <v>46198</v>
      </c>
      <c r="E86" s="1" t="n">
        <v>46235</v>
      </c>
      <c r="F86" t="inlineStr">
        <is>
          <t>NORRBOTTENS LÄN</t>
        </is>
      </c>
      <c r="G86" t="inlineStr">
        <is>
          <t>ARJEPLOG</t>
        </is>
      </c>
      <c r="H86" t="inlineStr">
        <is>
          <t>Allmännings- och besparingsskogar</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61729-2024</t>
        </is>
      </c>
      <c r="B87" t="inlineStr">
        <is>
          <t>avverkningsanmälan</t>
        </is>
      </c>
      <c r="C87" t="inlineStr">
        <is>
          <t>Avverkning för annat ändamål</t>
        </is>
      </c>
      <c r="D87" s="1" t="n">
        <v>45649</v>
      </c>
      <c r="E87" s="1" t="n">
        <v>46235</v>
      </c>
      <c r="F87" t="inlineStr">
        <is>
          <t>NORRBOTTENS LÄN</t>
        </is>
      </c>
      <c r="G87" t="inlineStr">
        <is>
          <t>ARJEPLOG</t>
        </is>
      </c>
      <c r="H87" t="inlineStr">
        <is>
          <t>Övriga statliga verk och myndigheter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28560-2026</t>
        </is>
      </c>
      <c r="B88" t="inlineStr">
        <is>
          <t>avverkningsanmälan</t>
        </is>
      </c>
      <c r="C88" t="inlineStr">
        <is>
          <t>Föryngringsavverkning</t>
        </is>
      </c>
      <c r="D88" s="1" t="n">
        <v>46197</v>
      </c>
      <c r="E88" s="1" t="n">
        <v>46235</v>
      </c>
      <c r="F88" t="inlineStr">
        <is>
          <t>NORRBOTTENS LÄN</t>
        </is>
      </c>
      <c r="G88" t="inlineStr">
        <is>
          <t>ARJEPLOG</t>
        </is>
      </c>
      <c r="H88" t="inlineStr">
        <is>
          <t>Allmännings- och besparingsskogar</t>
        </is>
      </c>
      <c r="I88" t="n">
        <v>14.2</v>
      </c>
      <c r="J88" t="n">
        <v>0</v>
      </c>
      <c r="K88" t="n">
        <v>0</v>
      </c>
      <c r="L88" t="n">
        <v>0</v>
      </c>
      <c r="M88" t="n">
        <v>0</v>
      </c>
      <c r="N88" t="n">
        <v>0</v>
      </c>
      <c r="O88" t="n">
        <v>0</v>
      </c>
      <c r="P88" t="n">
        <v>0</v>
      </c>
      <c r="Q88" t="n">
        <v>0</v>
      </c>
      <c r="R88" t="n">
        <v>0</v>
      </c>
      <c r="S88" t="n">
        <v>0</v>
      </c>
      <c r="T88" t="n">
        <v>0</v>
      </c>
      <c r="U88" t="n">
        <v>0</v>
      </c>
      <c r="V88" s="2" t="inlineStr"/>
    </row>
    <row r="89" ht="15" customHeight="1">
      <c r="A89" t="inlineStr">
        <is>
          <t>A 55570-2025</t>
        </is>
      </c>
      <c r="B89" t="inlineStr">
        <is>
          <t>avverkningsanmälan</t>
        </is>
      </c>
      <c r="C89" t="inlineStr">
        <is>
          <t>Föryngringsavverkning</t>
        </is>
      </c>
      <c r="D89" s="1" t="n">
        <v>45971</v>
      </c>
      <c r="E89" s="1" t="n">
        <v>46235</v>
      </c>
      <c r="F89" t="inlineStr">
        <is>
          <t>NORRBOTTENS LÄN</t>
        </is>
      </c>
      <c r="G89" t="inlineStr">
        <is>
          <t>ARJEPLOG</t>
        </is>
      </c>
      <c r="H89" t="inlineStr">
        <is>
          <t>Övriga statliga verk och myndigheter</t>
        </is>
      </c>
      <c r="I89" t="n">
        <v>10.6</v>
      </c>
      <c r="J89" t="n">
        <v>0</v>
      </c>
      <c r="K89" t="n">
        <v>0</v>
      </c>
      <c r="L89" t="n">
        <v>0</v>
      </c>
      <c r="M89" t="n">
        <v>0</v>
      </c>
      <c r="N89" t="n">
        <v>0</v>
      </c>
      <c r="O89" t="n">
        <v>0</v>
      </c>
      <c r="P89" t="n">
        <v>0</v>
      </c>
      <c r="Q89" t="n">
        <v>0</v>
      </c>
      <c r="R89" t="n">
        <v>0</v>
      </c>
      <c r="S89" t="n">
        <v>0</v>
      </c>
      <c r="T89" t="n">
        <v>0</v>
      </c>
      <c r="U89" t="n">
        <v>0</v>
      </c>
      <c r="V89" s="2" t="inlineStr"/>
    </row>
    <row r="90" ht="15" customHeight="1">
      <c r="A90" t="inlineStr">
        <is>
          <t>A 34426-2025</t>
        </is>
      </c>
      <c r="B90" t="inlineStr">
        <is>
          <t>avverkningsanmälan</t>
        </is>
      </c>
      <c r="C90" t="inlineStr">
        <is>
          <t>Föryngringsavverkning</t>
        </is>
      </c>
      <c r="D90" s="1" t="n">
        <v>45845</v>
      </c>
      <c r="E90" s="1" t="n">
        <v>46235</v>
      </c>
      <c r="F90" t="inlineStr">
        <is>
          <t>NORRBOTTENS LÄN</t>
        </is>
      </c>
      <c r="G90" t="inlineStr">
        <is>
          <t>ARJEPLOG</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45072-2023</t>
        </is>
      </c>
      <c r="B91" t="inlineStr">
        <is>
          <t>avverkningsanmälan</t>
        </is>
      </c>
      <c r="C91" t="inlineStr">
        <is>
          <t>Föryngringsavverkning</t>
        </is>
      </c>
      <c r="D91" s="1" t="n">
        <v>45187</v>
      </c>
      <c r="E91" s="1" t="n">
        <v>46235</v>
      </c>
      <c r="F91" t="inlineStr">
        <is>
          <t>NORRBOTTENS LÄN</t>
        </is>
      </c>
      <c r="G91" t="inlineStr">
        <is>
          <t>ARJEPLOG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23335-2026</t>
        </is>
      </c>
      <c r="B92" t="inlineStr">
        <is>
          <t>avverkningsanmälan</t>
        </is>
      </c>
      <c r="C92" t="inlineStr">
        <is>
          <t>Föryngringsavverkning</t>
        </is>
      </c>
      <c r="D92" s="1" t="n">
        <v>46162</v>
      </c>
      <c r="E92" s="1" t="n">
        <v>46235</v>
      </c>
      <c r="F92" t="inlineStr">
        <is>
          <t>NORRBOTTENS LÄN</t>
        </is>
      </c>
      <c r="G92" t="inlineStr">
        <is>
          <t>ARJEPLOG</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29674-2025</t>
        </is>
      </c>
      <c r="B93" t="inlineStr">
        <is>
          <t>avverkningsanmälan</t>
        </is>
      </c>
      <c r="C93" t="inlineStr">
        <is>
          <t>Föryngringsavverkning</t>
        </is>
      </c>
      <c r="D93" s="1" t="n">
        <v>45825</v>
      </c>
      <c r="E93" s="1" t="n">
        <v>46235</v>
      </c>
      <c r="F93" t="inlineStr">
        <is>
          <t>NORRBOTTENS LÄN</t>
        </is>
      </c>
      <c r="G93" t="inlineStr">
        <is>
          <t>ARJEPLOG</t>
        </is>
      </c>
      <c r="H93" t="inlineStr">
        <is>
          <t>Allmännings- och besparingsskogar</t>
        </is>
      </c>
      <c r="I93" t="n">
        <v>25.1</v>
      </c>
      <c r="J93" t="n">
        <v>0</v>
      </c>
      <c r="K93" t="n">
        <v>0</v>
      </c>
      <c r="L93" t="n">
        <v>0</v>
      </c>
      <c r="M93" t="n">
        <v>0</v>
      </c>
      <c r="N93" t="n">
        <v>0</v>
      </c>
      <c r="O93" t="n">
        <v>0</v>
      </c>
      <c r="P93" t="n">
        <v>0</v>
      </c>
      <c r="Q93" t="n">
        <v>0</v>
      </c>
      <c r="R93" t="n">
        <v>0</v>
      </c>
      <c r="S93" t="n">
        <v>0</v>
      </c>
      <c r="T93" t="n">
        <v>0</v>
      </c>
      <c r="U93" t="n">
        <v>0</v>
      </c>
      <c r="V93" s="2" t="inlineStr"/>
    </row>
    <row r="94" ht="15" customHeight="1">
      <c r="A94" t="inlineStr">
        <is>
          <t>A 23330-2026</t>
        </is>
      </c>
      <c r="B94" t="inlineStr">
        <is>
          <t>avverkningsanmälan</t>
        </is>
      </c>
      <c r="C94" t="inlineStr">
        <is>
          <t>Föryngringsavverkning</t>
        </is>
      </c>
      <c r="D94" s="1" t="n">
        <v>46162</v>
      </c>
      <c r="E94" s="1" t="n">
        <v>46235</v>
      </c>
      <c r="F94" t="inlineStr">
        <is>
          <t>NORRBOTTENS LÄN</t>
        </is>
      </c>
      <c r="G94" t="inlineStr">
        <is>
          <t>ARJEPLOG</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17536-2023</t>
        </is>
      </c>
      <c r="B95" t="inlineStr">
        <is>
          <t>avverkningsanmälan</t>
        </is>
      </c>
      <c r="C95" t="inlineStr">
        <is>
          <t>Föryngringsavverkning</t>
        </is>
      </c>
      <c r="D95" s="1" t="n">
        <v>45034</v>
      </c>
      <c r="E95" s="1" t="n">
        <v>46235</v>
      </c>
      <c r="F95" t="inlineStr">
        <is>
          <t>NORRBOTTENS LÄN</t>
        </is>
      </c>
      <c r="G95" t="inlineStr">
        <is>
          <t>ARJEPLOG</t>
        </is>
      </c>
      <c r="H95" t="inlineStr">
        <is>
          <t>Övriga statliga verk och myndigheter</t>
        </is>
      </c>
      <c r="I95" t="n">
        <v>20.3</v>
      </c>
      <c r="J95" t="n">
        <v>0</v>
      </c>
      <c r="K95" t="n">
        <v>0</v>
      </c>
      <c r="L95" t="n">
        <v>0</v>
      </c>
      <c r="M95" t="n">
        <v>0</v>
      </c>
      <c r="N95" t="n">
        <v>0</v>
      </c>
      <c r="O95" t="n">
        <v>0</v>
      </c>
      <c r="P95" t="n">
        <v>0</v>
      </c>
      <c r="Q95" t="n">
        <v>0</v>
      </c>
      <c r="R95" t="n">
        <v>0</v>
      </c>
      <c r="S95" t="n">
        <v>0</v>
      </c>
      <c r="T95" t="n">
        <v>0</v>
      </c>
      <c r="U95" t="n">
        <v>0</v>
      </c>
      <c r="V95" s="2" t="inlineStr"/>
    </row>
    <row r="96" ht="15" customHeight="1">
      <c r="A96" t="inlineStr">
        <is>
          <t>A 390-2026</t>
        </is>
      </c>
      <c r="B96" t="inlineStr">
        <is>
          <t>avverkningsanmälan</t>
        </is>
      </c>
      <c r="C96" t="inlineStr">
        <is>
          <t>Föryngringsavverkning</t>
        </is>
      </c>
      <c r="D96" s="1" t="n">
        <v>46028</v>
      </c>
      <c r="E96" s="1" t="n">
        <v>46235</v>
      </c>
      <c r="F96" t="inlineStr">
        <is>
          <t>NORRBOTTENS LÄN</t>
        </is>
      </c>
      <c r="G96" t="inlineStr">
        <is>
          <t>ARJEPLOG</t>
        </is>
      </c>
      <c r="I96" t="n">
        <v>19.5</v>
      </c>
      <c r="J96" t="n">
        <v>0</v>
      </c>
      <c r="K96" t="n">
        <v>0</v>
      </c>
      <c r="L96" t="n">
        <v>0</v>
      </c>
      <c r="M96" t="n">
        <v>0</v>
      </c>
      <c r="N96" t="n">
        <v>0</v>
      </c>
      <c r="O96" t="n">
        <v>0</v>
      </c>
      <c r="P96" t="n">
        <v>0</v>
      </c>
      <c r="Q96" t="n">
        <v>0</v>
      </c>
      <c r="R96" t="n">
        <v>0</v>
      </c>
      <c r="S96" t="n">
        <v>0</v>
      </c>
      <c r="T96" t="n">
        <v>0</v>
      </c>
      <c r="U96" t="n">
        <v>0</v>
      </c>
      <c r="V96" s="2" t="inlineStr"/>
    </row>
    <row r="97" ht="15" customHeight="1">
      <c r="A97" t="inlineStr">
        <is>
          <t>A 52581-2022</t>
        </is>
      </c>
      <c r="B97" t="inlineStr">
        <is>
          <t>avverkningsanmälan</t>
        </is>
      </c>
      <c r="C97" t="inlineStr">
        <is>
          <t>Föryngringsavverkning</t>
        </is>
      </c>
      <c r="D97" s="1" t="n">
        <v>44874</v>
      </c>
      <c r="E97" s="1" t="n">
        <v>46235</v>
      </c>
      <c r="F97" t="inlineStr">
        <is>
          <t>NORRBOTTENS LÄN</t>
        </is>
      </c>
      <c r="G97" t="inlineStr">
        <is>
          <t>ARJEPLOG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54589-2021</t>
        </is>
      </c>
      <c r="B98" t="inlineStr">
        <is>
          <t>avverkningsanmälan</t>
        </is>
      </c>
      <c r="C98" t="inlineStr">
        <is>
          <t>Föryngringsavverkning</t>
        </is>
      </c>
      <c r="D98" s="1" t="n">
        <v>44473</v>
      </c>
      <c r="E98" s="1" t="n">
        <v>46235</v>
      </c>
      <c r="F98" t="inlineStr">
        <is>
          <t>NORRBOTTENS LÄN</t>
        </is>
      </c>
      <c r="G98" t="inlineStr">
        <is>
          <t>ARJEPLOG</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59887-2025</t>
        </is>
      </c>
      <c r="B99" t="inlineStr">
        <is>
          <t>avverkningsanmälan</t>
        </is>
      </c>
      <c r="C99" t="inlineStr">
        <is>
          <t>Föryngringsavverkning</t>
        </is>
      </c>
      <c r="D99" s="1" t="n">
        <v>45993</v>
      </c>
      <c r="E99" s="1" t="n">
        <v>46235</v>
      </c>
      <c r="F99" t="inlineStr">
        <is>
          <t>NORRBOTTENS LÄN</t>
        </is>
      </c>
      <c r="G99" t="inlineStr">
        <is>
          <t>ARJEPLOG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60767-2025</t>
        </is>
      </c>
      <c r="B100" t="inlineStr">
        <is>
          <t>avverkningsanmälan</t>
        </is>
      </c>
      <c r="C100" t="inlineStr">
        <is>
          <t>Föryngringsavverkning</t>
        </is>
      </c>
      <c r="D100" s="1" t="n">
        <v>45999</v>
      </c>
      <c r="E100" s="1" t="n">
        <v>46235</v>
      </c>
      <c r="F100" t="inlineStr">
        <is>
          <t>NORRBOTTENS LÄN</t>
        </is>
      </c>
      <c r="G100" t="inlineStr">
        <is>
          <t>ARJEPLOG</t>
        </is>
      </c>
      <c r="I100" t="n">
        <v>11.3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60766-2025</t>
        </is>
      </c>
      <c r="B101" t="inlineStr">
        <is>
          <t>avverkningsanmälan</t>
        </is>
      </c>
      <c r="C101" t="inlineStr">
        <is>
          <t>Föryngringsavverkning</t>
        </is>
      </c>
      <c r="D101" s="1" t="n">
        <v>45999</v>
      </c>
      <c r="E101" s="1" t="n">
        <v>46235</v>
      </c>
      <c r="F101" t="inlineStr">
        <is>
          <t>NORRBOTTENS LÄN</t>
        </is>
      </c>
      <c r="G101" t="inlineStr">
        <is>
          <t>ARJEPLOG</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55266-2024</t>
        </is>
      </c>
      <c r="B102" t="inlineStr">
        <is>
          <t>avverkningsanmälan</t>
        </is>
      </c>
      <c r="C102" t="inlineStr">
        <is>
          <t>Föryngringsavverkning</t>
        </is>
      </c>
      <c r="D102" s="1" t="n">
        <v>45621</v>
      </c>
      <c r="E102" s="1" t="n">
        <v>46235</v>
      </c>
      <c r="F102" t="inlineStr">
        <is>
          <t>NORRBOTTENS LÄN</t>
        </is>
      </c>
      <c r="G102" t="inlineStr">
        <is>
          <t>ARJEPLOG</t>
        </is>
      </c>
      <c r="I102" t="n">
        <v>11.3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28679-2026</t>
        </is>
      </c>
      <c r="B103" t="inlineStr">
        <is>
          <t>avverkningsanmälan</t>
        </is>
      </c>
      <c r="C103" t="inlineStr">
        <is>
          <t>Föryngringsavverkning</t>
        </is>
      </c>
      <c r="D103" s="1" t="n">
        <v>46198</v>
      </c>
      <c r="E103" s="1" t="n">
        <v>46235</v>
      </c>
      <c r="F103" t="inlineStr">
        <is>
          <t>NORRBOTTENS LÄN</t>
        </is>
      </c>
      <c r="G103" t="inlineStr">
        <is>
          <t>ARJEPLOG</t>
        </is>
      </c>
      <c r="H103" t="inlineStr">
        <is>
          <t>Allmännings- och besparingsskogar</t>
        </is>
      </c>
      <c r="I103" t="n">
        <v>17.2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28787-2026</t>
        </is>
      </c>
      <c r="B104" t="inlineStr">
        <is>
          <t>avverkningsanmälan</t>
        </is>
      </c>
      <c r="C104" t="inlineStr">
        <is>
          <t>Föryngringsavverkning</t>
        </is>
      </c>
      <c r="D104" s="1" t="n">
        <v>46198</v>
      </c>
      <c r="E104" s="1" t="n">
        <v>46235</v>
      </c>
      <c r="F104" t="inlineStr">
        <is>
          <t>NORRBOTTENS LÄN</t>
        </is>
      </c>
      <c r="G104" t="inlineStr">
        <is>
          <t>ARJEPLOG</t>
        </is>
      </c>
      <c r="H104" t="inlineStr">
        <is>
          <t>Allmännings- och besparingsskogar</t>
        </is>
      </c>
      <c r="I104" t="n">
        <v>13.3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20789-2022</t>
        </is>
      </c>
      <c r="B105" t="inlineStr">
        <is>
          <t>avverkningsanmälan</t>
        </is>
      </c>
      <c r="C105" t="inlineStr">
        <is>
          <t>Föryngringsavverkning</t>
        </is>
      </c>
      <c r="D105" s="1" t="n">
        <v>44701</v>
      </c>
      <c r="E105" s="1" t="n">
        <v>46235</v>
      </c>
      <c r="F105" t="inlineStr">
        <is>
          <t>NORRBOTTENS LÄN</t>
        </is>
      </c>
      <c r="G105" t="inlineStr">
        <is>
          <t>ARJEPLOG</t>
        </is>
      </c>
      <c r="I105" t="n">
        <v>20.3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26773-2022</t>
        </is>
      </c>
      <c r="B106" t="inlineStr">
        <is>
          <t>avverkningsanmälan</t>
        </is>
      </c>
      <c r="C106" t="inlineStr">
        <is>
          <t>Föryngringsavverkning</t>
        </is>
      </c>
      <c r="D106" s="1" t="n">
        <v>44732</v>
      </c>
      <c r="E106" s="1" t="n">
        <v>46235</v>
      </c>
      <c r="F106" t="inlineStr">
        <is>
          <t>NORRBOTTENS LÄN</t>
        </is>
      </c>
      <c r="G106" t="inlineStr">
        <is>
          <t>ARJEPLOG</t>
        </is>
      </c>
      <c r="H106" t="inlineStr">
        <is>
          <t>Övriga statliga verk och myndigheter</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28532-2026</t>
        </is>
      </c>
      <c r="B107" t="inlineStr">
        <is>
          <t>avverkningsanmälan</t>
        </is>
      </c>
      <c r="C107" t="inlineStr">
        <is>
          <t>Avverkning för annat ändamål</t>
        </is>
      </c>
      <c r="D107" s="1" t="n">
        <v>46197</v>
      </c>
      <c r="E107" s="1" t="n">
        <v>46235</v>
      </c>
      <c r="F107" t="inlineStr">
        <is>
          <t>NORRBOTTENS LÄN</t>
        </is>
      </c>
      <c r="G107" t="inlineStr">
        <is>
          <t>ARJEPLOG</t>
        </is>
      </c>
      <c r="H107" t="inlineStr">
        <is>
          <t>Allmännings- och besparingsskogar</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28551-2026</t>
        </is>
      </c>
      <c r="B108" t="inlineStr">
        <is>
          <t>avverkningsanmälan</t>
        </is>
      </c>
      <c r="C108" t="inlineStr">
        <is>
          <t>Föryngringsavverkning</t>
        </is>
      </c>
      <c r="D108" s="1" t="n">
        <v>46197</v>
      </c>
      <c r="E108" s="1" t="n">
        <v>46235</v>
      </c>
      <c r="F108" t="inlineStr">
        <is>
          <t>NORRBOTTENS LÄN</t>
        </is>
      </c>
      <c r="G108" t="inlineStr">
        <is>
          <t>ARJEPLOG</t>
        </is>
      </c>
      <c r="H108" t="inlineStr">
        <is>
          <t>Allmännings- och besparingsskogar</t>
        </is>
      </c>
      <c r="I108" t="n">
        <v>22.9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3006-2024</t>
        </is>
      </c>
      <c r="B109" t="inlineStr">
        <is>
          <t>avverkningsanmälan</t>
        </is>
      </c>
      <c r="C109" t="inlineStr">
        <is>
          <t>Föryngringsavverkning</t>
        </is>
      </c>
      <c r="D109" s="1" t="n">
        <v>45315</v>
      </c>
      <c r="E109" s="1" t="n">
        <v>46235</v>
      </c>
      <c r="F109" t="inlineStr">
        <is>
          <t>NORRBOTTENS LÄN</t>
        </is>
      </c>
      <c r="G109" t="inlineStr">
        <is>
          <t>ARJEPLOG</t>
        </is>
      </c>
      <c r="I109" t="n">
        <v>9.1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26479-2024</t>
        </is>
      </c>
      <c r="B110" t="inlineStr">
        <is>
          <t>avverkningsanmälan</t>
        </is>
      </c>
      <c r="C110" t="inlineStr">
        <is>
          <t>Föryngringsavverkning</t>
        </is>
      </c>
      <c r="D110" s="1" t="n">
        <v>45468</v>
      </c>
      <c r="E110" s="1" t="n">
        <v>46235</v>
      </c>
      <c r="F110" t="inlineStr">
        <is>
          <t>NORRBOTTENS LÄN</t>
        </is>
      </c>
      <c r="G110" t="inlineStr">
        <is>
          <t>ARJEPLOG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53822-2024</t>
        </is>
      </c>
      <c r="B111" t="inlineStr">
        <is>
          <t>avverkningsanmälan</t>
        </is>
      </c>
      <c r="C111" t="inlineStr">
        <is>
          <t>Föryngringsavverkning</t>
        </is>
      </c>
      <c r="D111" s="1" t="n">
        <v>45614</v>
      </c>
      <c r="E111" s="1" t="n">
        <v>46235</v>
      </c>
      <c r="F111" t="inlineStr">
        <is>
          <t>NORRBOTTENS LÄN</t>
        </is>
      </c>
      <c r="G111" t="inlineStr">
        <is>
          <t>ARJEPLOG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25440-2024</t>
        </is>
      </c>
      <c r="B112" t="inlineStr">
        <is>
          <t>avverkningsanmälan</t>
        </is>
      </c>
      <c r="C112" t="inlineStr">
        <is>
          <t>Föryngringsavverkning</t>
        </is>
      </c>
      <c r="D112" s="1" t="n">
        <v>45463</v>
      </c>
      <c r="E112" s="1" t="n">
        <v>46235</v>
      </c>
      <c r="F112" t="inlineStr">
        <is>
          <t>NORRBOTTENS LÄN</t>
        </is>
      </c>
      <c r="G112" t="inlineStr">
        <is>
          <t>ARJEPLOG</t>
        </is>
      </c>
      <c r="H112" t="inlineStr">
        <is>
          <t>Allmännings- och besparingsskogar</t>
        </is>
      </c>
      <c r="I112" t="n">
        <v>30.7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26048-2026</t>
        </is>
      </c>
      <c r="B113" t="inlineStr">
        <is>
          <t>avverkningsanmälan</t>
        </is>
      </c>
      <c r="C113" t="inlineStr">
        <is>
          <t>Föryngringsavverkning</t>
        </is>
      </c>
      <c r="D113" s="1" t="n">
        <v>46181</v>
      </c>
      <c r="E113" s="1" t="n">
        <v>46235</v>
      </c>
      <c r="F113" t="inlineStr">
        <is>
          <t>NORRBOTTENS LÄN</t>
        </is>
      </c>
      <c r="G113" t="inlineStr">
        <is>
          <t>ARJEPLOG</t>
        </is>
      </c>
      <c r="I113" t="n">
        <v>16.9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12447-2025</t>
        </is>
      </c>
      <c r="B114" t="inlineStr">
        <is>
          <t>avverkningsanmälan</t>
        </is>
      </c>
      <c r="C114" t="inlineStr">
        <is>
          <t>Föryngringsavverkning</t>
        </is>
      </c>
      <c r="D114" s="1" t="n">
        <v>45730</v>
      </c>
      <c r="E114" s="1" t="n">
        <v>46235</v>
      </c>
      <c r="F114" t="inlineStr">
        <is>
          <t>NORRBOTTENS LÄN</t>
        </is>
      </c>
      <c r="G114" t="inlineStr">
        <is>
          <t>ARJEPLOG</t>
        </is>
      </c>
      <c r="I114" t="n">
        <v>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25239-2023</t>
        </is>
      </c>
      <c r="B115" t="inlineStr">
        <is>
          <t>avverkningsanmälan</t>
        </is>
      </c>
      <c r="C115" t="inlineStr">
        <is>
          <t>Föryngringsavverkning</t>
        </is>
      </c>
      <c r="D115" s="1" t="n">
        <v>45079</v>
      </c>
      <c r="E115" s="1" t="n">
        <v>46235</v>
      </c>
      <c r="F115" t="inlineStr">
        <is>
          <t>NORRBOTTENS LÄN</t>
        </is>
      </c>
      <c r="G115" t="inlineStr">
        <is>
          <t>ARJEPLOG</t>
        </is>
      </c>
      <c r="H115" t="inlineStr">
        <is>
          <t>Övriga statliga verk och myndigheter</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27102-2026</t>
        </is>
      </c>
      <c r="B116" t="inlineStr">
        <is>
          <t>avverkningsanmälan</t>
        </is>
      </c>
      <c r="C116" t="inlineStr">
        <is>
          <t>Avverkning för annat ändamål</t>
        </is>
      </c>
      <c r="D116" s="1" t="n">
        <v>46188</v>
      </c>
      <c r="E116" s="1" t="n">
        <v>46235</v>
      </c>
      <c r="F116" t="inlineStr">
        <is>
          <t>NORRBOTTENS LÄN</t>
        </is>
      </c>
      <c r="G116" t="inlineStr">
        <is>
          <t>ARJEPLOG</t>
        </is>
      </c>
      <c r="H116" t="inlineStr">
        <is>
          <t>Sveaskog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42274-2022</t>
        </is>
      </c>
      <c r="B117" t="inlineStr">
        <is>
          <t>avverkningsanmälan</t>
        </is>
      </c>
      <c r="C117" t="inlineStr">
        <is>
          <t>Föryngringsavverkning</t>
        </is>
      </c>
      <c r="D117" s="1" t="n">
        <v>44830</v>
      </c>
      <c r="E117" s="1" t="n">
        <v>46235</v>
      </c>
      <c r="F117" t="inlineStr">
        <is>
          <t>NORRBOTTENS LÄN</t>
        </is>
      </c>
      <c r="G117" t="inlineStr">
        <is>
          <t>ARJEPLOG</t>
        </is>
      </c>
      <c r="H117" t="inlineStr">
        <is>
          <t>SCA</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56754-2024</t>
        </is>
      </c>
      <c r="B118" t="inlineStr">
        <is>
          <t>avverkningsanmälan</t>
        </is>
      </c>
      <c r="C118" t="inlineStr">
        <is>
          <t>Föryngringsavverkning</t>
        </is>
      </c>
      <c r="D118" s="1" t="n">
        <v>45625</v>
      </c>
      <c r="E118" s="1" t="n">
        <v>46235</v>
      </c>
      <c r="F118" t="inlineStr">
        <is>
          <t>NORRBOTTENS LÄN</t>
        </is>
      </c>
      <c r="G118" t="inlineStr">
        <is>
          <t>ARJEPLOG</t>
        </is>
      </c>
      <c r="I118" t="n">
        <v>11.5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56800-2024</t>
        </is>
      </c>
      <c r="B119" t="inlineStr">
        <is>
          <t>avverkningsanmälan</t>
        </is>
      </c>
      <c r="C119" t="inlineStr">
        <is>
          <t>Föryngringsavverkning</t>
        </is>
      </c>
      <c r="D119" s="1" t="n">
        <v>45625</v>
      </c>
      <c r="E119" s="1" t="n">
        <v>46235</v>
      </c>
      <c r="F119" t="inlineStr">
        <is>
          <t>NORRBOTTENS LÄN</t>
        </is>
      </c>
      <c r="G119" t="inlineStr">
        <is>
          <t>ARJEPLOG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58989-2024</t>
        </is>
      </c>
      <c r="B120" t="inlineStr">
        <is>
          <t>avverkningsanmälan</t>
        </is>
      </c>
      <c r="C120" t="inlineStr">
        <is>
          <t>Avverkning för annat ändamål</t>
        </is>
      </c>
      <c r="D120" s="1" t="n">
        <v>45636</v>
      </c>
      <c r="E120" s="1" t="n">
        <v>46235</v>
      </c>
      <c r="F120" t="inlineStr">
        <is>
          <t>NORRBOTTENS LÄN</t>
        </is>
      </c>
      <c r="G120" t="inlineStr">
        <is>
          <t>ARJEPLOG</t>
        </is>
      </c>
      <c r="H120" t="inlineStr">
        <is>
          <t>Sveaskog</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56782-2024</t>
        </is>
      </c>
      <c r="B121" t="inlineStr">
        <is>
          <t>avverkningsanmälan</t>
        </is>
      </c>
      <c r="C121" t="inlineStr">
        <is>
          <t>Föryngringsavverkning</t>
        </is>
      </c>
      <c r="D121" s="1" t="n">
        <v>45625</v>
      </c>
      <c r="E121" s="1" t="n">
        <v>46235</v>
      </c>
      <c r="F121" t="inlineStr">
        <is>
          <t>NORRBOTTENS LÄN</t>
        </is>
      </c>
      <c r="G121" t="inlineStr">
        <is>
          <t>ARJEPLOG</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56794-2024</t>
        </is>
      </c>
      <c r="B122" t="inlineStr">
        <is>
          <t>avverkningsanmälan</t>
        </is>
      </c>
      <c r="C122" t="inlineStr">
        <is>
          <t>Föryngringsavverkning</t>
        </is>
      </c>
      <c r="D122" s="1" t="n">
        <v>45625</v>
      </c>
      <c r="E122" s="1" t="n">
        <v>46235</v>
      </c>
      <c r="F122" t="inlineStr">
        <is>
          <t>NORRBOTTENS LÄN</t>
        </is>
      </c>
      <c r="G122" t="inlineStr">
        <is>
          <t>ARJEPLOG</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25270-2023</t>
        </is>
      </c>
      <c r="B123" t="inlineStr">
        <is>
          <t>avverkningsanmälan</t>
        </is>
      </c>
      <c r="C123" t="inlineStr">
        <is>
          <t>Föryngringsavverkning</t>
        </is>
      </c>
      <c r="D123" s="1" t="n">
        <v>45079</v>
      </c>
      <c r="E123" s="1" t="n">
        <v>46235</v>
      </c>
      <c r="F123" t="inlineStr">
        <is>
          <t>NORRBOTTENS LÄN</t>
        </is>
      </c>
      <c r="G123" t="inlineStr">
        <is>
          <t>ARJEPLOG</t>
        </is>
      </c>
      <c r="H123" t="inlineStr">
        <is>
          <t>Övriga statliga verk och myndigheter</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12409-2025</t>
        </is>
      </c>
      <c r="B124" t="inlineStr">
        <is>
          <t>avverkningsanmälan</t>
        </is>
      </c>
      <c r="C124" t="inlineStr">
        <is>
          <t>Föryngringsavverkning</t>
        </is>
      </c>
      <c r="D124" s="1" t="n">
        <v>45730</v>
      </c>
      <c r="E124" s="1" t="n">
        <v>46235</v>
      </c>
      <c r="F124" t="inlineStr">
        <is>
          <t>NORRBOTTENS LÄN</t>
        </is>
      </c>
      <c r="G124" t="inlineStr">
        <is>
          <t>ARJEPLOG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14861-2026</t>
        </is>
      </c>
      <c r="B125" t="inlineStr">
        <is>
          <t>avverkningsanmälan</t>
        </is>
      </c>
      <c r="C125" t="inlineStr">
        <is>
          <t>Föryngringsavverkning</t>
        </is>
      </c>
      <c r="D125" s="1" t="n">
        <v>46104</v>
      </c>
      <c r="E125" s="1" t="n">
        <v>46235</v>
      </c>
      <c r="F125" t="inlineStr">
        <is>
          <t>NORRBOTTENS LÄN</t>
        </is>
      </c>
      <c r="G125" t="inlineStr">
        <is>
          <t>ARJEPLOG</t>
        </is>
      </c>
      <c r="H125" t="inlineStr">
        <is>
          <t>Sveaskog</t>
        </is>
      </c>
      <c r="I125" t="n">
        <v>31.7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26811-2022</t>
        </is>
      </c>
      <c r="B126" t="inlineStr">
        <is>
          <t>avverkningsanmälan</t>
        </is>
      </c>
      <c r="C126" t="inlineStr">
        <is>
          <t>Avverkning för annat ändamål</t>
        </is>
      </c>
      <c r="D126" s="1" t="n">
        <v>44735</v>
      </c>
      <c r="E126" s="1" t="n">
        <v>46235</v>
      </c>
      <c r="F126" t="inlineStr">
        <is>
          <t>NORRBOTTENS LÄN</t>
        </is>
      </c>
      <c r="G126" t="inlineStr">
        <is>
          <t>ARJEPLOG</t>
        </is>
      </c>
      <c r="H126" t="inlineStr">
        <is>
          <t>Övriga statliga verk och myndigheter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44218-2023</t>
        </is>
      </c>
      <c r="B127" t="inlineStr">
        <is>
          <t>avverkningsanmälan</t>
        </is>
      </c>
      <c r="C127" t="inlineStr">
        <is>
          <t>Avverkning för annat ändamål</t>
        </is>
      </c>
      <c r="D127" s="1" t="n">
        <v>45183</v>
      </c>
      <c r="E127" s="1" t="n">
        <v>46235</v>
      </c>
      <c r="F127" t="inlineStr">
        <is>
          <t>NORRBOTTENS LÄN</t>
        </is>
      </c>
      <c r="G127" t="inlineStr">
        <is>
          <t>ARJEPLOG</t>
        </is>
      </c>
      <c r="H127" t="inlineStr">
        <is>
          <t>Allmännings- och besparingsskogar</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56276-2021</t>
        </is>
      </c>
      <c r="B128" t="inlineStr">
        <is>
          <t>avverkningsanmälan</t>
        </is>
      </c>
      <c r="C128" t="inlineStr">
        <is>
          <t>Avverkning för annat ändamål</t>
        </is>
      </c>
      <c r="D128" s="1" t="n">
        <v>44479</v>
      </c>
      <c r="E128" s="1" t="n">
        <v>46235</v>
      </c>
      <c r="F128" t="inlineStr">
        <is>
          <t>NORRBOTTENS LÄN</t>
        </is>
      </c>
      <c r="G128" t="inlineStr">
        <is>
          <t>ARJEPLOG</t>
        </is>
      </c>
      <c r="I128" t="n">
        <v>19.8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64840-2023</t>
        </is>
      </c>
      <c r="B129" t="inlineStr">
        <is>
          <t>avverkningsanmälan</t>
        </is>
      </c>
      <c r="C129" t="inlineStr">
        <is>
          <t>Föryngringsavverkning</t>
        </is>
      </c>
      <c r="D129" s="1" t="n">
        <v>45281</v>
      </c>
      <c r="E129" s="1" t="n">
        <v>46235</v>
      </c>
      <c r="F129" t="inlineStr">
        <is>
          <t>NORRBOTTENS LÄN</t>
        </is>
      </c>
      <c r="G129" t="inlineStr">
        <is>
          <t>ARJEPLOG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64816-2023</t>
        </is>
      </c>
      <c r="B130" t="inlineStr">
        <is>
          <t>avverkningsanmälan</t>
        </is>
      </c>
      <c r="C130" t="inlineStr">
        <is>
          <t>Föryngringsavverkning</t>
        </is>
      </c>
      <c r="D130" s="1" t="n">
        <v>45281</v>
      </c>
      <c r="E130" s="1" t="n">
        <v>46235</v>
      </c>
      <c r="F130" t="inlineStr">
        <is>
          <t>NORRBOTTENS LÄN</t>
        </is>
      </c>
      <c r="G130" t="inlineStr">
        <is>
          <t>ARJEPLOG</t>
        </is>
      </c>
      <c r="I130" t="n">
        <v>13.4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43045-2022</t>
        </is>
      </c>
      <c r="B131" t="inlineStr">
        <is>
          <t>avverkningsanmälan</t>
        </is>
      </c>
      <c r="C131" t="inlineStr">
        <is>
          <t>Föryngringsavverkning</t>
        </is>
      </c>
      <c r="D131" s="1" t="n">
        <v>44833</v>
      </c>
      <c r="E131" s="1" t="n">
        <v>46235</v>
      </c>
      <c r="F131" t="inlineStr">
        <is>
          <t>NORRBOTTENS LÄN</t>
        </is>
      </c>
      <c r="G131" t="inlineStr">
        <is>
          <t>ARJEPLOG</t>
        </is>
      </c>
      <c r="I131" t="n">
        <v>24.6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46235</v>
      </c>
      <c r="F132" t="inlineStr">
        <is>
          <t>NORRBOTTENS LÄN</t>
        </is>
      </c>
      <c r="G132" t="inlineStr">
        <is>
          <t>ARJEPLOG</t>
        </is>
      </c>
      <c r="I132" t="n">
        <v>23.2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31104-2025</t>
        </is>
      </c>
      <c r="B133" t="inlineStr">
        <is>
          <t>avverkningsanmälan</t>
        </is>
      </c>
      <c r="C133" t="inlineStr">
        <is>
          <t>Föryngringsavverkning</t>
        </is>
      </c>
      <c r="D133" s="1" t="n">
        <v>45832</v>
      </c>
      <c r="E133" s="1" t="n">
        <v>46235</v>
      </c>
      <c r="F133" t="inlineStr">
        <is>
          <t>NORRBOTTENS LÄN</t>
        </is>
      </c>
      <c r="G133" t="inlineStr">
        <is>
          <t>ARJEPLOG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25275-2023</t>
        </is>
      </c>
      <c r="B134" t="inlineStr">
        <is>
          <t>avverkningsanmälan</t>
        </is>
      </c>
      <c r="C134" t="inlineStr">
        <is>
          <t>Föryngringsavverkning</t>
        </is>
      </c>
      <c r="D134" s="1" t="n">
        <v>45079</v>
      </c>
      <c r="E134" s="1" t="n">
        <v>46235</v>
      </c>
      <c r="F134" t="inlineStr">
        <is>
          <t>NORRBOTTENS LÄN</t>
        </is>
      </c>
      <c r="G134" t="inlineStr">
        <is>
          <t>ARJEPLOG</t>
        </is>
      </c>
      <c r="H134" t="inlineStr">
        <is>
          <t>Övriga statliga verk och myndigheter</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25559-2022</t>
        </is>
      </c>
      <c r="B135" t="inlineStr">
        <is>
          <t>avverkningsanmälan</t>
        </is>
      </c>
      <c r="C135" t="inlineStr">
        <is>
          <t>Föryngringsavverkning</t>
        </is>
      </c>
      <c r="D135" s="1" t="n">
        <v>44732</v>
      </c>
      <c r="E135" s="1" t="n">
        <v>46235</v>
      </c>
      <c r="F135" t="inlineStr">
        <is>
          <t>NORRBOTTENS LÄN</t>
        </is>
      </c>
      <c r="G135" t="inlineStr">
        <is>
          <t>ARJEPLOG</t>
        </is>
      </c>
      <c r="H135" t="inlineStr">
        <is>
          <t>Övriga statliga verk och myndigheter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29662-2025</t>
        </is>
      </c>
      <c r="B136" t="inlineStr">
        <is>
          <t>avverkningsanmälan</t>
        </is>
      </c>
      <c r="C136" t="inlineStr">
        <is>
          <t>Föryngringsavverkning</t>
        </is>
      </c>
      <c r="D136" s="1" t="n">
        <v>45825</v>
      </c>
      <c r="E136" s="1" t="n">
        <v>46235</v>
      </c>
      <c r="F136" t="inlineStr">
        <is>
          <t>NORRBOTTENS LÄN</t>
        </is>
      </c>
      <c r="G136" t="inlineStr">
        <is>
          <t>ARJEPLOG</t>
        </is>
      </c>
      <c r="H136" t="inlineStr">
        <is>
          <t>Allmännings- och besparingsskogar</t>
        </is>
      </c>
      <c r="I136" t="n">
        <v>23.7</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46235</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2026-08-01T01:50:49Z</dcterms:created>
  <dcterms:modified xmlns:dcterms="http://purl.org/dc/terms/" xmlns:xsi="http://www.w3.org/2001/XMLSchema-instance" xsi:type="dcterms:W3CDTF">2026-08-01T01:50:49Z</dcterms:modified>
</cp:coreProperties>
</file>