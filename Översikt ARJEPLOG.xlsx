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33217-2020</t>
        </is>
      </c>
      <c r="B4" s="1" t="n">
        <v>44020</v>
      </c>
      <c r="C4" s="1" t="n">
        <v>45585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56.5</v>
      </c>
      <c r="H4" t="n">
        <v>1</v>
      </c>
      <c r="I4" t="n">
        <v>1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n">
        <v>15</v>
      </c>
      <c r="P4" t="n">
        <v>3</v>
      </c>
      <c r="Q4" t="n">
        <v>16</v>
      </c>
      <c r="R4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4">
        <f>HYPERLINK("https://klasma.github.io/Logging_2506/artfynd/A 33217-2020 artfynd.xlsx", "A 33217-2020")</f>
        <v/>
      </c>
      <c r="T4">
        <f>HYPERLINK("https://klasma.github.io/Logging_2506/kartor/A 33217-2020 karta.png", "A 33217-2020")</f>
        <v/>
      </c>
      <c r="V4">
        <f>HYPERLINK("https://klasma.github.io/Logging_2506/klagomål/A 33217-2020 FSC-klagomål.docx", "A 33217-2020")</f>
        <v/>
      </c>
      <c r="W4">
        <f>HYPERLINK("https://klasma.github.io/Logging_2506/klagomålsmail/A 33217-2020 FSC-klagomål mail.docx", "A 33217-2020")</f>
        <v/>
      </c>
      <c r="X4">
        <f>HYPERLINK("https://klasma.github.io/Logging_2506/tillsyn/A 33217-2020 tillsynsbegäran.docx", "A 33217-2020")</f>
        <v/>
      </c>
      <c r="Y4">
        <f>HYPERLINK("https://klasma.github.io/Logging_2506/tillsynsmail/A 33217-2020 tillsynsbegäran mail.docx", "A 33217-2020")</f>
        <v/>
      </c>
      <c r="Z4">
        <f>HYPERLINK("https://klasma.github.io/Logging_2506/fåglar/A 33217-2020 prioriterade fågelarter.docx", "A 33217-2020")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45585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45585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26852-2024</t>
        </is>
      </c>
      <c r="B7" s="1" t="n">
        <v>45470</v>
      </c>
      <c r="C7" s="1" t="n">
        <v>45585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17.9</v>
      </c>
      <c r="H7" t="n">
        <v>0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Fläckporing
Tajgaskinn
Blågrå svartspik
Dvärgbägarlav
Garnlav
Granticka
Gränsticka
Knottrig blåslav
Nordtagging
Ullticka
Vedflamlav
Vedticka</t>
        </is>
      </c>
      <c r="S7">
        <f>HYPERLINK("https://klasma.github.io/Logging_2506/artfynd/A 26852-2024 artfynd.xlsx", "A 26852-2024")</f>
        <v/>
      </c>
      <c r="T7">
        <f>HYPERLINK("https://klasma.github.io/Logging_2506/kartor/A 26852-2024 karta.png", "A 26852-2024")</f>
        <v/>
      </c>
      <c r="V7">
        <f>HYPERLINK("https://klasma.github.io/Logging_2506/klagomål/A 26852-2024 FSC-klagomål.docx", "A 26852-2024")</f>
        <v/>
      </c>
      <c r="W7">
        <f>HYPERLINK("https://klasma.github.io/Logging_2506/klagomålsmail/A 26852-2024 FSC-klagomål mail.docx", "A 26852-2024")</f>
        <v/>
      </c>
      <c r="X7">
        <f>HYPERLINK("https://klasma.github.io/Logging_2506/tillsyn/A 26852-2024 tillsynsbegäran.docx", "A 26852-2024")</f>
        <v/>
      </c>
      <c r="Y7">
        <f>HYPERLINK("https://klasma.github.io/Logging_2506/tillsynsmail/A 26852-2024 tillsynsbegäran mail.docx", "A 26852-2024")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45585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45585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45585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45585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45585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45585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45585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45585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45585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45585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45585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45585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45585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45585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45585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45585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45585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45585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45585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45585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45585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45585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45585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45585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45585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45585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45585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45585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45585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45585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45585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45585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45585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45585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45585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45585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45585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45585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45585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45585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45585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45585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45585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45585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45585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45585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45585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45585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45585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45585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45585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45585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45585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45585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45585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45585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45585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45585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45585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45585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45585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45585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45585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45585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45585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45585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45585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45585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45585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45585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45585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45585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45585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45585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45585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45585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45585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45585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45585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45585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45585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45585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45585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45585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45585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45585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45585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45585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45585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45585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45585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45585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45585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45585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45585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45585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45585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45585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45585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45585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45585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45585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45585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45585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45585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45585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45585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45585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45585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45585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45585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45585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45585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45585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45585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45585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45585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45585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45585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45585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45585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45014-2024</t>
        </is>
      </c>
      <c r="B160" s="1" t="n">
        <v>45575</v>
      </c>
      <c r="C160" s="1" t="n">
        <v>45585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44976-2024</t>
        </is>
      </c>
      <c r="B161" s="1" t="n">
        <v>45575</v>
      </c>
      <c r="C161" s="1" t="n">
        <v>45585</v>
      </c>
      <c r="D161" t="inlineStr">
        <is>
          <t>NORRBOTTENS LÄN</t>
        </is>
      </c>
      <c r="E161" t="inlineStr">
        <is>
          <t>ARJEPLOG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45332-2024</t>
        </is>
      </c>
      <c r="B162" s="1" t="n">
        <v>45576</v>
      </c>
      <c r="C162" s="1" t="n">
        <v>45585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45585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45585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2024-10-20T12:16:29Z</dcterms:created>
  <dcterms:modified xmlns:dcterms="http://purl.org/dc/terms/" xmlns:xsi="http://www.w3.org/2001/XMLSchema-instance" xsi:type="dcterms:W3CDTF">2024-10-20T12:16:29Z</dcterms:modified>
</cp:coreProperties>
</file>