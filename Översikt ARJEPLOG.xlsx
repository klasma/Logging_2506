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46303</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46303</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46303</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46303</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46303</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46303</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46303</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46303</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46303</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46303</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46303</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46303</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46303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46303</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45417-2024</t>
        </is>
      </c>
      <c r="B23" t="inlineStr">
        <is>
          <t>avverkningsanmälan</t>
        </is>
      </c>
      <c r="C23" t="inlineStr">
        <is>
          <t>Föryngringsavverkning</t>
        </is>
      </c>
      <c r="D23" s="1" t="n">
        <v>45576</v>
      </c>
      <c r="E23" s="1" t="n">
        <v>46303</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1479-2026</t>
        </is>
      </c>
      <c r="B24" t="inlineStr">
        <is>
          <t>avverkningsanmälan</t>
        </is>
      </c>
      <c r="C24" t="inlineStr">
        <is>
          <t>Föryngringsavverkning</t>
        </is>
      </c>
      <c r="D24" s="1" t="n">
        <v>46033</v>
      </c>
      <c r="E24" s="1" t="n">
        <v>46303</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46303</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46303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46303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45032-2023</t>
        </is>
      </c>
      <c r="B28" t="inlineStr">
        <is>
          <t>avverkningsanmälan</t>
        </is>
      </c>
      <c r="C28" t="inlineStr">
        <is>
          <t>Föryngringsavverkning</t>
        </is>
      </c>
      <c r="D28" s="1" t="n">
        <v>45190</v>
      </c>
      <c r="E28" s="1" t="n">
        <v>46303</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46303</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28351-2025</t>
        </is>
      </c>
      <c r="B30" t="inlineStr">
        <is>
          <t>avverkningsanmälan</t>
        </is>
      </c>
      <c r="C30" t="inlineStr">
        <is>
          <t>Föryngringsavverkning</t>
        </is>
      </c>
      <c r="D30" s="1" t="n">
        <v>45818</v>
      </c>
      <c r="E30" s="1" t="n">
        <v>46303</v>
      </c>
      <c r="F30" t="inlineStr">
        <is>
          <t>NORRBOTTENS LÄN</t>
        </is>
      </c>
      <c r="G30" t="inlineStr">
        <is>
          <t>ARJEPLOG</t>
        </is>
      </c>
      <c r="I30" t="n">
        <v>5.4</v>
      </c>
      <c r="J30" t="n">
        <v>0</v>
      </c>
      <c r="K30" t="n">
        <v>0</v>
      </c>
      <c r="L30" t="n">
        <v>6</v>
      </c>
      <c r="M30" t="n">
        <v>2</v>
      </c>
      <c r="N30" t="n">
        <v>0</v>
      </c>
      <c r="O30" t="n">
        <v>0</v>
      </c>
      <c r="P30" t="n">
        <v>0</v>
      </c>
      <c r="Q30" t="n">
        <v>8</v>
      </c>
      <c r="R30" t="n">
        <v>2</v>
      </c>
      <c r="S30" t="n">
        <v>8</v>
      </c>
      <c r="T30" t="n">
        <v>13</v>
      </c>
      <c r="U30" t="n">
        <v>13</v>
      </c>
      <c r="V30" s="2" t="inlineStr">
        <is>
          <t>Fläckporing
Garnlav
Blanksvart spiklav
Dropptaggsvamp
Dvärgbägarlav
Ullticka
Vedflamlav
Vedskivlav</t>
        </is>
      </c>
      <c r="W30">
        <f>HYPERLINK("https://klasma.github.io/Logging_2506/artfynd/A 28351-2025 artfynd.xlsx", "A 28351-2025")</f>
        <v/>
      </c>
      <c r="X30">
        <f>HYPERLINK("https://klasma.github.io/Logging_2506/kartor/A 28351-2025 karta.png", "A 28351-2025")</f>
        <v/>
      </c>
      <c r="Y30">
        <f>HYPERLINK("https://klasma.github.io/Logging_2506/kartor_geotiff/A 28351-2025 georefererad karta.tif", "A 28351-2025")</f>
        <v/>
      </c>
      <c r="AA30">
        <f>HYPERLINK("https://klasma.github.io/Logging_2506/klagomål/A 28351-2025 FSC-klagomål.docx", "A 28351-2025")</f>
        <v/>
      </c>
      <c r="AB30">
        <f>HYPERLINK("https://klasma.github.io/Logging_2506/klagomålsmail/A 28351-2025 FSC-klagomål mail.docx", "A 28351-2025")</f>
        <v/>
      </c>
      <c r="AC30">
        <f>HYPERLINK("https://klasma.github.io/Logging_2506/tillsyn/A 28351-2025 tillsynsbegäran.docx", "A 28351-2025")</f>
        <v/>
      </c>
      <c r="AD30">
        <f>HYPERLINK("https://klasma.github.io/Logging_2506/tillsynsmail/A 28351-2025 tillsynsbegäran mail.docx", "A 28351-2025")</f>
        <v/>
      </c>
    </row>
    <row r="31" ht="15" customHeight="1">
      <c r="A31" t="inlineStr">
        <is>
          <t>A 1478-2026</t>
        </is>
      </c>
      <c r="B31" t="inlineStr">
        <is>
          <t>avverkningsanmälan</t>
        </is>
      </c>
      <c r="C31" t="inlineStr">
        <is>
          <t>Föryngringsavverkning</t>
        </is>
      </c>
      <c r="D31" s="1" t="n">
        <v>46033</v>
      </c>
      <c r="E31" s="1" t="n">
        <v>46303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46303</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46303</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46303</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46303</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10525-2024</t>
        </is>
      </c>
      <c r="B37" t="inlineStr">
        <is>
          <t>avverkningsanmälan</t>
        </is>
      </c>
      <c r="C37" t="inlineStr">
        <is>
          <t>Föryngringsavverkning</t>
        </is>
      </c>
      <c r="D37" s="1" t="n">
        <v>45366</v>
      </c>
      <c r="E37" s="1" t="n">
        <v>46303</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26143-2024</t>
        </is>
      </c>
      <c r="B38" t="inlineStr">
        <is>
          <t>avverkningsanmälan</t>
        </is>
      </c>
      <c r="C38" t="inlineStr">
        <is>
          <t>Föryngringsavverkning</t>
        </is>
      </c>
      <c r="D38" s="1" t="n">
        <v>45467</v>
      </c>
      <c r="E38" s="1" t="n">
        <v>46303</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15171-2022</t>
        </is>
      </c>
      <c r="B39" t="inlineStr">
        <is>
          <t>avverkningsanmälan</t>
        </is>
      </c>
      <c r="C39" t="inlineStr">
        <is>
          <t>Föryngringsavverkning</t>
        </is>
      </c>
      <c r="D39" s="1" t="n">
        <v>44658</v>
      </c>
      <c r="E39" s="1" t="n">
        <v>46303</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36564-2026</t>
        </is>
      </c>
      <c r="B40" t="inlineStr">
        <is>
          <t>avverkningsanmälan</t>
        </is>
      </c>
      <c r="C40" t="inlineStr">
        <is>
          <t>Föryngringsavverkning</t>
        </is>
      </c>
      <c r="D40" s="1" t="n">
        <v>46269</v>
      </c>
      <c r="E40" s="1" t="n">
        <v>46303</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46303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46303</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46303</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46303</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46303</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46303</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46303</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46303</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46303</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46303</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46303</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46303</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46303</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46303</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46303</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46303</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56785-2024</t>
        </is>
      </c>
      <c r="B57" t="inlineStr">
        <is>
          <t>avverkningsanmälan</t>
        </is>
      </c>
      <c r="C57" t="inlineStr">
        <is>
          <t>Föryngringsavverkning</t>
        </is>
      </c>
      <c r="D57" s="1" t="n">
        <v>45625</v>
      </c>
      <c r="E57" s="1" t="n">
        <v>46303</v>
      </c>
      <c r="F57" t="inlineStr">
        <is>
          <t>NORRBOTTENS LÄN</t>
        </is>
      </c>
      <c r="G57" t="inlineStr">
        <is>
          <t>ARJEPLOG</t>
        </is>
      </c>
      <c r="I57" t="n">
        <v>11.2</v>
      </c>
      <c r="J57" t="n">
        <v>0</v>
      </c>
      <c r="K57" t="n">
        <v>0</v>
      </c>
      <c r="L57" t="n">
        <v>0</v>
      </c>
      <c r="M57" t="n">
        <v>0</v>
      </c>
      <c r="N57" t="n">
        <v>0</v>
      </c>
      <c r="O57" t="n">
        <v>0</v>
      </c>
      <c r="P57" t="n">
        <v>0</v>
      </c>
      <c r="Q57" t="n">
        <v>0</v>
      </c>
      <c r="R57" t="n">
        <v>0</v>
      </c>
      <c r="S57" t="n">
        <v>0</v>
      </c>
      <c r="T57" t="n">
        <v>0</v>
      </c>
      <c r="U57" t="n">
        <v>0</v>
      </c>
      <c r="V57" s="2" t="inlineStr"/>
    </row>
    <row r="58" ht="15" customHeight="1">
      <c r="A58" t="inlineStr">
        <is>
          <t>A 58879-2021</t>
        </is>
      </c>
      <c r="B58" t="inlineStr">
        <is>
          <t>avverkningsanmälan</t>
        </is>
      </c>
      <c r="C58" t="inlineStr">
        <is>
          <t>Föryngringsavverkning</t>
        </is>
      </c>
      <c r="D58" s="1" t="n">
        <v>44489</v>
      </c>
      <c r="E58" s="1" t="n">
        <v>46303</v>
      </c>
      <c r="F58" t="inlineStr">
        <is>
          <t>NORRBOTTENS LÄN</t>
        </is>
      </c>
      <c r="G58" t="inlineStr">
        <is>
          <t>ARJEPLOG</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46303</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45072-2023</t>
        </is>
      </c>
      <c r="B60" t="inlineStr">
        <is>
          <t>avverkningsanmälan</t>
        </is>
      </c>
      <c r="C60" t="inlineStr">
        <is>
          <t>Föryngringsavverkning</t>
        </is>
      </c>
      <c r="D60" s="1" t="n">
        <v>45187</v>
      </c>
      <c r="E60" s="1" t="n">
        <v>46303</v>
      </c>
      <c r="F60" t="inlineStr">
        <is>
          <t>NORRBOTTENS LÄN</t>
        </is>
      </c>
      <c r="G60" t="inlineStr">
        <is>
          <t>ARJEPLOG</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52581-2022</t>
        </is>
      </c>
      <c r="B61" t="inlineStr">
        <is>
          <t>avverkningsanmälan</t>
        </is>
      </c>
      <c r="C61" t="inlineStr">
        <is>
          <t>Föryngringsavverkning</t>
        </is>
      </c>
      <c r="D61" s="1" t="n">
        <v>44874</v>
      </c>
      <c r="E61" s="1" t="n">
        <v>46303</v>
      </c>
      <c r="F61" t="inlineStr">
        <is>
          <t>NORRBOTTENS LÄN</t>
        </is>
      </c>
      <c r="G61" t="inlineStr">
        <is>
          <t>ARJEPLOG</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56276-2021</t>
        </is>
      </c>
      <c r="B62" t="inlineStr">
        <is>
          <t>avverkningsanmälan</t>
        </is>
      </c>
      <c r="C62" t="inlineStr">
        <is>
          <t>Avverkning för annat ändamål</t>
        </is>
      </c>
      <c r="D62" s="1" t="n">
        <v>44479</v>
      </c>
      <c r="E62" s="1" t="n">
        <v>46303</v>
      </c>
      <c r="F62" t="inlineStr">
        <is>
          <t>NORRBOTTENS LÄN</t>
        </is>
      </c>
      <c r="G62" t="inlineStr">
        <is>
          <t>ARJEPLOG</t>
        </is>
      </c>
      <c r="I62" t="n">
        <v>19.8</v>
      </c>
      <c r="J62" t="n">
        <v>0</v>
      </c>
      <c r="K62" t="n">
        <v>0</v>
      </c>
      <c r="L62" t="n">
        <v>0</v>
      </c>
      <c r="M62" t="n">
        <v>0</v>
      </c>
      <c r="N62" t="n">
        <v>0</v>
      </c>
      <c r="O62" t="n">
        <v>0</v>
      </c>
      <c r="P62" t="n">
        <v>0</v>
      </c>
      <c r="Q62" t="n">
        <v>0</v>
      </c>
      <c r="R62" t="n">
        <v>0</v>
      </c>
      <c r="S62" t="n">
        <v>0</v>
      </c>
      <c r="T62" t="n">
        <v>0</v>
      </c>
      <c r="U62" t="n">
        <v>0</v>
      </c>
      <c r="V62" s="2" t="inlineStr"/>
    </row>
    <row r="63" ht="15" customHeight="1">
      <c r="A63" t="inlineStr">
        <is>
          <t>A 35627-2025</t>
        </is>
      </c>
      <c r="B63" t="inlineStr">
        <is>
          <t>avverkningsanmälan</t>
        </is>
      </c>
      <c r="C63" t="inlineStr">
        <is>
          <t>Föryngringsavverkning</t>
        </is>
      </c>
      <c r="D63" s="1" t="n">
        <v>45859</v>
      </c>
      <c r="E63" s="1" t="n">
        <v>46303</v>
      </c>
      <c r="F63" t="inlineStr">
        <is>
          <t>NORRBOTTENS LÄN</t>
        </is>
      </c>
      <c r="G63" t="inlineStr">
        <is>
          <t>ARJEPLOG</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46303</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46303</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26103-2024</t>
        </is>
      </c>
      <c r="B66" t="inlineStr">
        <is>
          <t>avverkningsanmälan</t>
        </is>
      </c>
      <c r="C66" t="inlineStr">
        <is>
          <t>Föryngringsavverkning</t>
        </is>
      </c>
      <c r="D66" s="1" t="n">
        <v>45467</v>
      </c>
      <c r="E66" s="1" t="n">
        <v>46303</v>
      </c>
      <c r="F66" t="inlineStr">
        <is>
          <t>NORRBOTTENS LÄN</t>
        </is>
      </c>
      <c r="G66" t="inlineStr">
        <is>
          <t>ARJEPLOG</t>
        </is>
      </c>
      <c r="I66" t="n">
        <v>17.2</v>
      </c>
      <c r="J66" t="n">
        <v>0</v>
      </c>
      <c r="K66" t="n">
        <v>0</v>
      </c>
      <c r="L66" t="n">
        <v>0</v>
      </c>
      <c r="M66" t="n">
        <v>0</v>
      </c>
      <c r="N66" t="n">
        <v>0</v>
      </c>
      <c r="O66" t="n">
        <v>0</v>
      </c>
      <c r="P66" t="n">
        <v>0</v>
      </c>
      <c r="Q66" t="n">
        <v>0</v>
      </c>
      <c r="R66" t="n">
        <v>0</v>
      </c>
      <c r="S66" t="n">
        <v>0</v>
      </c>
      <c r="T66" t="n">
        <v>0</v>
      </c>
      <c r="U66" t="n">
        <v>0</v>
      </c>
      <c r="V66" s="2" t="inlineStr"/>
    </row>
    <row r="67" ht="15" customHeight="1">
      <c r="A67" t="inlineStr">
        <is>
          <t>A 43045-2022</t>
        </is>
      </c>
      <c r="B67" t="inlineStr">
        <is>
          <t>avverkningsanmälan</t>
        </is>
      </c>
      <c r="C67" t="inlineStr">
        <is>
          <t>Föryngringsavverkning</t>
        </is>
      </c>
      <c r="D67" s="1" t="n">
        <v>44833</v>
      </c>
      <c r="E67" s="1" t="n">
        <v>46303</v>
      </c>
      <c r="F67" t="inlineStr">
        <is>
          <t>NORRBOTTENS LÄN</t>
        </is>
      </c>
      <c r="G67" t="inlineStr">
        <is>
          <t>ARJEPLOG</t>
        </is>
      </c>
      <c r="I67" t="n">
        <v>24.6</v>
      </c>
      <c r="J67" t="n">
        <v>0</v>
      </c>
      <c r="K67" t="n">
        <v>0</v>
      </c>
      <c r="L67" t="n">
        <v>0</v>
      </c>
      <c r="M67" t="n">
        <v>0</v>
      </c>
      <c r="N67" t="n">
        <v>0</v>
      </c>
      <c r="O67" t="n">
        <v>0</v>
      </c>
      <c r="P67" t="n">
        <v>0</v>
      </c>
      <c r="Q67" t="n">
        <v>0</v>
      </c>
      <c r="R67" t="n">
        <v>0</v>
      </c>
      <c r="S67" t="n">
        <v>0</v>
      </c>
      <c r="T67" t="n">
        <v>0</v>
      </c>
      <c r="U67" t="n">
        <v>0</v>
      </c>
      <c r="V67" s="2" t="inlineStr"/>
    </row>
    <row r="68" ht="15" customHeight="1">
      <c r="A68" t="inlineStr">
        <is>
          <t>A 43045-2022</t>
        </is>
      </c>
      <c r="B68" t="inlineStr">
        <is>
          <t>avverkningsanmälan</t>
        </is>
      </c>
      <c r="C68" t="inlineStr">
        <is>
          <t>Föryngringsavverkning</t>
        </is>
      </c>
      <c r="D68" s="1" t="n">
        <v>44833</v>
      </c>
      <c r="E68" s="1" t="n">
        <v>46303</v>
      </c>
      <c r="F68" t="inlineStr">
        <is>
          <t>NORRBOTTENS LÄN</t>
        </is>
      </c>
      <c r="G68" t="inlineStr">
        <is>
          <t>ARJEPLOG</t>
        </is>
      </c>
      <c r="I68" t="n">
        <v>23.2</v>
      </c>
      <c r="J68" t="n">
        <v>0</v>
      </c>
      <c r="K68" t="n">
        <v>0</v>
      </c>
      <c r="L68" t="n">
        <v>0</v>
      </c>
      <c r="M68" t="n">
        <v>0</v>
      </c>
      <c r="N68" t="n">
        <v>0</v>
      </c>
      <c r="O68" t="n">
        <v>0</v>
      </c>
      <c r="P68" t="n">
        <v>0</v>
      </c>
      <c r="Q68" t="n">
        <v>0</v>
      </c>
      <c r="R68" t="n">
        <v>0</v>
      </c>
      <c r="S68" t="n">
        <v>0</v>
      </c>
      <c r="T68" t="n">
        <v>0</v>
      </c>
      <c r="U68" t="n">
        <v>0</v>
      </c>
      <c r="V68" s="2" t="inlineStr"/>
    </row>
    <row r="69" ht="15" customHeight="1">
      <c r="A69" t="inlineStr">
        <is>
          <t>A 3006-2024</t>
        </is>
      </c>
      <c r="B69" t="inlineStr">
        <is>
          <t>avverkningsanmälan</t>
        </is>
      </c>
      <c r="C69" t="inlineStr">
        <is>
          <t>Föryngringsavverkning</t>
        </is>
      </c>
      <c r="D69" s="1" t="n">
        <v>45315</v>
      </c>
      <c r="E69" s="1" t="n">
        <v>46303</v>
      </c>
      <c r="F69" t="inlineStr">
        <is>
          <t>NORRBOTTENS LÄN</t>
        </is>
      </c>
      <c r="G69" t="inlineStr">
        <is>
          <t>ARJEPLOG</t>
        </is>
      </c>
      <c r="I69" t="n">
        <v>9.1</v>
      </c>
      <c r="J69" t="n">
        <v>0</v>
      </c>
      <c r="K69" t="n">
        <v>0</v>
      </c>
      <c r="L69" t="n">
        <v>0</v>
      </c>
      <c r="M69" t="n">
        <v>0</v>
      </c>
      <c r="N69" t="n">
        <v>0</v>
      </c>
      <c r="O69" t="n">
        <v>0</v>
      </c>
      <c r="P69" t="n">
        <v>0</v>
      </c>
      <c r="Q69" t="n">
        <v>0</v>
      </c>
      <c r="R69" t="n">
        <v>0</v>
      </c>
      <c r="S69" t="n">
        <v>0</v>
      </c>
      <c r="T69" t="n">
        <v>0</v>
      </c>
      <c r="U69" t="n">
        <v>0</v>
      </c>
      <c r="V69" s="2" t="inlineStr"/>
    </row>
    <row r="70" ht="15" customHeight="1">
      <c r="A70" t="inlineStr">
        <is>
          <t>A 25440-2024</t>
        </is>
      </c>
      <c r="B70" t="inlineStr">
        <is>
          <t>avverkningsanmälan</t>
        </is>
      </c>
      <c r="C70" t="inlineStr">
        <is>
          <t>Föryngringsavverkning</t>
        </is>
      </c>
      <c r="D70" s="1" t="n">
        <v>45463</v>
      </c>
      <c r="E70" s="1" t="n">
        <v>46303</v>
      </c>
      <c r="F70" t="inlineStr">
        <is>
          <t>NORRBOTTENS LÄN</t>
        </is>
      </c>
      <c r="G70" t="inlineStr">
        <is>
          <t>ARJEPLOG</t>
        </is>
      </c>
      <c r="H70" t="inlineStr">
        <is>
          <t>Allmännings- och besparingsskogar</t>
        </is>
      </c>
      <c r="I70" t="n">
        <v>30.7</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46303</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31104-2025</t>
        </is>
      </c>
      <c r="B72" t="inlineStr">
        <is>
          <t>avverkningsanmälan</t>
        </is>
      </c>
      <c r="C72" t="inlineStr">
        <is>
          <t>Föryngringsavverkning</t>
        </is>
      </c>
      <c r="D72" s="1" t="n">
        <v>45832</v>
      </c>
      <c r="E72" s="1" t="n">
        <v>46303</v>
      </c>
      <c r="F72" t="inlineStr">
        <is>
          <t>NORRBOTTENS LÄN</t>
        </is>
      </c>
      <c r="G72" t="inlineStr">
        <is>
          <t>ARJEPLOG</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25275-2023</t>
        </is>
      </c>
      <c r="B73" t="inlineStr">
        <is>
          <t>avverkningsanmälan</t>
        </is>
      </c>
      <c r="C73" t="inlineStr">
        <is>
          <t>Föryngringsavverkning</t>
        </is>
      </c>
      <c r="D73" s="1" t="n">
        <v>45079</v>
      </c>
      <c r="E73" s="1" t="n">
        <v>46303</v>
      </c>
      <c r="F73" t="inlineStr">
        <is>
          <t>NORRBOTTENS LÄN</t>
        </is>
      </c>
      <c r="G73" t="inlineStr">
        <is>
          <t>ARJEPLOG</t>
        </is>
      </c>
      <c r="H73" t="inlineStr">
        <is>
          <t>Övriga statliga verk och myndigheter</t>
        </is>
      </c>
      <c r="I73" t="n">
        <v>22.7</v>
      </c>
      <c r="J73" t="n">
        <v>0</v>
      </c>
      <c r="K73" t="n">
        <v>0</v>
      </c>
      <c r="L73" t="n">
        <v>0</v>
      </c>
      <c r="M73" t="n">
        <v>0</v>
      </c>
      <c r="N73" t="n">
        <v>0</v>
      </c>
      <c r="O73" t="n">
        <v>0</v>
      </c>
      <c r="P73" t="n">
        <v>0</v>
      </c>
      <c r="Q73" t="n">
        <v>0</v>
      </c>
      <c r="R73" t="n">
        <v>0</v>
      </c>
      <c r="S73" t="n">
        <v>0</v>
      </c>
      <c r="T73" t="n">
        <v>0</v>
      </c>
      <c r="U73" t="n">
        <v>0</v>
      </c>
      <c r="V73" s="2" t="inlineStr"/>
    </row>
    <row r="74" ht="15" customHeight="1">
      <c r="A74" t="inlineStr">
        <is>
          <t>A 35194-2024</t>
        </is>
      </c>
      <c r="B74" t="inlineStr">
        <is>
          <t>avverkningsanmälan</t>
        </is>
      </c>
      <c r="C74" t="inlineStr">
        <is>
          <t>Föryngringsavverkning</t>
        </is>
      </c>
      <c r="D74" s="1" t="n">
        <v>45530</v>
      </c>
      <c r="E74" s="1" t="n">
        <v>46303</v>
      </c>
      <c r="F74" t="inlineStr">
        <is>
          <t>NORRBOTTENS LÄN</t>
        </is>
      </c>
      <c r="G74" t="inlineStr">
        <is>
          <t>ARJEPLOG</t>
        </is>
      </c>
      <c r="I74" t="n">
        <v>20.1</v>
      </c>
      <c r="J74" t="n">
        <v>0</v>
      </c>
      <c r="K74" t="n">
        <v>0</v>
      </c>
      <c r="L74" t="n">
        <v>0</v>
      </c>
      <c r="M74" t="n">
        <v>0</v>
      </c>
      <c r="N74" t="n">
        <v>0</v>
      </c>
      <c r="O74" t="n">
        <v>0</v>
      </c>
      <c r="P74" t="n">
        <v>0</v>
      </c>
      <c r="Q74" t="n">
        <v>0</v>
      </c>
      <c r="R74" t="n">
        <v>0</v>
      </c>
      <c r="S74" t="n">
        <v>0</v>
      </c>
      <c r="T74" t="n">
        <v>0</v>
      </c>
      <c r="U74" t="n">
        <v>0</v>
      </c>
      <c r="V74" s="2" t="inlineStr"/>
    </row>
    <row r="75" ht="15" customHeight="1">
      <c r="A75" t="inlineStr">
        <is>
          <t>A 48987-2025</t>
        </is>
      </c>
      <c r="B75" t="inlineStr">
        <is>
          <t>avverkningsanmälan</t>
        </is>
      </c>
      <c r="C75" t="inlineStr">
        <is>
          <t>Avverkning för annat ändamål</t>
        </is>
      </c>
      <c r="D75" s="1" t="n">
        <v>45937</v>
      </c>
      <c r="E75" s="1" t="n">
        <v>46303</v>
      </c>
      <c r="F75" t="inlineStr">
        <is>
          <t>NORRBOTTENS LÄN</t>
        </is>
      </c>
      <c r="G75" t="inlineStr">
        <is>
          <t>ARJEPLOG</t>
        </is>
      </c>
      <c r="H75" t="inlineStr">
        <is>
          <t>Sveaskog</t>
        </is>
      </c>
      <c r="I75" t="n">
        <v>6.5</v>
      </c>
      <c r="J75" t="n">
        <v>0</v>
      </c>
      <c r="K75" t="n">
        <v>0</v>
      </c>
      <c r="L75" t="n">
        <v>0</v>
      </c>
      <c r="M75" t="n">
        <v>0</v>
      </c>
      <c r="N75" t="n">
        <v>0</v>
      </c>
      <c r="O75" t="n">
        <v>0</v>
      </c>
      <c r="P75" t="n">
        <v>0</v>
      </c>
      <c r="Q75" t="n">
        <v>0</v>
      </c>
      <c r="R75" t="n">
        <v>0</v>
      </c>
      <c r="S75" t="n">
        <v>0</v>
      </c>
      <c r="T75" t="n">
        <v>0</v>
      </c>
      <c r="U75" t="n">
        <v>0</v>
      </c>
      <c r="V75" s="2" t="inlineStr"/>
    </row>
    <row r="76" ht="15" customHeight="1">
      <c r="A76" t="inlineStr">
        <is>
          <t>A 526-2025</t>
        </is>
      </c>
      <c r="B76" t="inlineStr">
        <is>
          <t>avverkningsanmälan</t>
        </is>
      </c>
      <c r="C76" t="inlineStr">
        <is>
          <t>Avverkning för annat ändamål</t>
        </is>
      </c>
      <c r="D76" s="1" t="n">
        <v>45664</v>
      </c>
      <c r="E76" s="1" t="n">
        <v>46303</v>
      </c>
      <c r="F76" t="inlineStr">
        <is>
          <t>NORRBOTTENS LÄN</t>
        </is>
      </c>
      <c r="G76" t="inlineStr">
        <is>
          <t>ARJEPLOG</t>
        </is>
      </c>
      <c r="H76" t="inlineStr">
        <is>
          <t>Övriga statliga verk och myndigheter</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64832-2023</t>
        </is>
      </c>
      <c r="B77" t="inlineStr">
        <is>
          <t>avverkningsanmälan</t>
        </is>
      </c>
      <c r="C77" t="inlineStr">
        <is>
          <t>Föryngringsavverkning</t>
        </is>
      </c>
      <c r="D77" s="1" t="n">
        <v>45281</v>
      </c>
      <c r="E77" s="1" t="n">
        <v>46303</v>
      </c>
      <c r="F77" t="inlineStr">
        <is>
          <t>NORRBOTTENS LÄN</t>
        </is>
      </c>
      <c r="G77" t="inlineStr">
        <is>
          <t>ARJEPLOG</t>
        </is>
      </c>
      <c r="I77" t="n">
        <v>43.6</v>
      </c>
      <c r="J77" t="n">
        <v>0</v>
      </c>
      <c r="K77" t="n">
        <v>0</v>
      </c>
      <c r="L77" t="n">
        <v>0</v>
      </c>
      <c r="M77" t="n">
        <v>0</v>
      </c>
      <c r="N77" t="n">
        <v>0</v>
      </c>
      <c r="O77" t="n">
        <v>0</v>
      </c>
      <c r="P77" t="n">
        <v>0</v>
      </c>
      <c r="Q77" t="n">
        <v>0</v>
      </c>
      <c r="R77" t="n">
        <v>0</v>
      </c>
      <c r="S77" t="n">
        <v>0</v>
      </c>
      <c r="T77" t="n">
        <v>0</v>
      </c>
      <c r="U77" t="n">
        <v>0</v>
      </c>
      <c r="V77" s="2" t="inlineStr"/>
    </row>
    <row r="78" ht="15" customHeight="1">
      <c r="A78" t="inlineStr">
        <is>
          <t>A 36623-2023</t>
        </is>
      </c>
      <c r="B78" t="inlineStr">
        <is>
          <t>avverkningsanmälan</t>
        </is>
      </c>
      <c r="C78" t="inlineStr">
        <is>
          <t>Föryngringsavverkning</t>
        </is>
      </c>
      <c r="D78" s="1" t="n">
        <v>45153</v>
      </c>
      <c r="E78" s="1" t="n">
        <v>46303</v>
      </c>
      <c r="F78" t="inlineStr">
        <is>
          <t>NORRBOTTENS LÄN</t>
        </is>
      </c>
      <c r="G78" t="inlineStr">
        <is>
          <t>ARJEPLOG</t>
        </is>
      </c>
      <c r="H78" t="inlineStr">
        <is>
          <t>Sveaskog</t>
        </is>
      </c>
      <c r="I78" t="n">
        <v>16.9</v>
      </c>
      <c r="J78" t="n">
        <v>0</v>
      </c>
      <c r="K78" t="n">
        <v>0</v>
      </c>
      <c r="L78" t="n">
        <v>0</v>
      </c>
      <c r="M78" t="n">
        <v>0</v>
      </c>
      <c r="N78" t="n">
        <v>0</v>
      </c>
      <c r="O78" t="n">
        <v>0</v>
      </c>
      <c r="P78" t="n">
        <v>0</v>
      </c>
      <c r="Q78" t="n">
        <v>0</v>
      </c>
      <c r="R78" t="n">
        <v>0</v>
      </c>
      <c r="S78" t="n">
        <v>0</v>
      </c>
      <c r="T78" t="n">
        <v>0</v>
      </c>
      <c r="U78" t="n">
        <v>0</v>
      </c>
      <c r="V78" s="2" t="inlineStr"/>
    </row>
    <row r="79" ht="15" customHeight="1">
      <c r="A79" t="inlineStr">
        <is>
          <t>A 25559-2022</t>
        </is>
      </c>
      <c r="B79" t="inlineStr">
        <is>
          <t>avverkningsanmälan</t>
        </is>
      </c>
      <c r="C79" t="inlineStr">
        <is>
          <t>Föryngringsavverkning</t>
        </is>
      </c>
      <c r="D79" s="1" t="n">
        <v>44732</v>
      </c>
      <c r="E79" s="1" t="n">
        <v>46303</v>
      </c>
      <c r="F79" t="inlineStr">
        <is>
          <t>NORRBOTTENS LÄN</t>
        </is>
      </c>
      <c r="G79" t="inlineStr">
        <is>
          <t>ARJEPLOG</t>
        </is>
      </c>
      <c r="H79" t="inlineStr">
        <is>
          <t>Övriga statliga verk och myndigheter</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56754-2024</t>
        </is>
      </c>
      <c r="B80" t="inlineStr">
        <is>
          <t>avverkningsanmälan</t>
        </is>
      </c>
      <c r="C80" t="inlineStr">
        <is>
          <t>Föryngringsavverkning</t>
        </is>
      </c>
      <c r="D80" s="1" t="n">
        <v>45625</v>
      </c>
      <c r="E80" s="1" t="n">
        <v>46303</v>
      </c>
      <c r="F80" t="inlineStr">
        <is>
          <t>NORRBOTTENS LÄN</t>
        </is>
      </c>
      <c r="G80" t="inlineStr">
        <is>
          <t>ARJEPLOG</t>
        </is>
      </c>
      <c r="I80" t="n">
        <v>11.5</v>
      </c>
      <c r="J80" t="n">
        <v>0</v>
      </c>
      <c r="K80" t="n">
        <v>0</v>
      </c>
      <c r="L80" t="n">
        <v>0</v>
      </c>
      <c r="M80" t="n">
        <v>0</v>
      </c>
      <c r="N80" t="n">
        <v>0</v>
      </c>
      <c r="O80" t="n">
        <v>0</v>
      </c>
      <c r="P80" t="n">
        <v>0</v>
      </c>
      <c r="Q80" t="n">
        <v>0</v>
      </c>
      <c r="R80" t="n">
        <v>0</v>
      </c>
      <c r="S80" t="n">
        <v>0</v>
      </c>
      <c r="T80" t="n">
        <v>0</v>
      </c>
      <c r="U80" t="n">
        <v>0</v>
      </c>
      <c r="V80" s="2" t="inlineStr"/>
    </row>
    <row r="81" ht="15" customHeight="1">
      <c r="A81" t="inlineStr">
        <is>
          <t>A 56800-2024</t>
        </is>
      </c>
      <c r="B81" t="inlineStr">
        <is>
          <t>avverkningsanmälan</t>
        </is>
      </c>
      <c r="C81" t="inlineStr">
        <is>
          <t>Föryngringsavverkning</t>
        </is>
      </c>
      <c r="D81" s="1" t="n">
        <v>45625</v>
      </c>
      <c r="E81" s="1" t="n">
        <v>46303</v>
      </c>
      <c r="F81" t="inlineStr">
        <is>
          <t>NORRBOTTENS LÄN</t>
        </is>
      </c>
      <c r="G81" t="inlineStr">
        <is>
          <t>ARJEPLOG</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29662-2025</t>
        </is>
      </c>
      <c r="B82" t="inlineStr">
        <is>
          <t>avverkningsanmälan</t>
        </is>
      </c>
      <c r="C82" t="inlineStr">
        <is>
          <t>Föryngringsavverkning</t>
        </is>
      </c>
      <c r="D82" s="1" t="n">
        <v>45825</v>
      </c>
      <c r="E82" s="1" t="n">
        <v>46303</v>
      </c>
      <c r="F82" t="inlineStr">
        <is>
          <t>NORRBOTTENS LÄN</t>
        </is>
      </c>
      <c r="G82" t="inlineStr">
        <is>
          <t>ARJEPLOG</t>
        </is>
      </c>
      <c r="H82" t="inlineStr">
        <is>
          <t>Allmännings- och besparingsskogar</t>
        </is>
      </c>
      <c r="I82" t="n">
        <v>23.7</v>
      </c>
      <c r="J82" t="n">
        <v>0</v>
      </c>
      <c r="K82" t="n">
        <v>0</v>
      </c>
      <c r="L82" t="n">
        <v>0</v>
      </c>
      <c r="M82" t="n">
        <v>0</v>
      </c>
      <c r="N82" t="n">
        <v>0</v>
      </c>
      <c r="O82" t="n">
        <v>0</v>
      </c>
      <c r="P82" t="n">
        <v>0</v>
      </c>
      <c r="Q82" t="n">
        <v>0</v>
      </c>
      <c r="R82" t="n">
        <v>0</v>
      </c>
      <c r="S82" t="n">
        <v>0</v>
      </c>
      <c r="T82" t="n">
        <v>0</v>
      </c>
      <c r="U82" t="n">
        <v>0</v>
      </c>
      <c r="V82" s="2" t="inlineStr"/>
    </row>
    <row r="83" ht="15" customHeight="1">
      <c r="A83" t="inlineStr">
        <is>
          <t>A 23949-2024</t>
        </is>
      </c>
      <c r="B83" t="inlineStr">
        <is>
          <t>avverkningsanmälan</t>
        </is>
      </c>
      <c r="C83" t="inlineStr">
        <is>
          <t>Föryngringsavverkning</t>
        </is>
      </c>
      <c r="D83" s="1" t="n">
        <v>45455</v>
      </c>
      <c r="E83" s="1" t="n">
        <v>46303</v>
      </c>
      <c r="F83" t="inlineStr">
        <is>
          <t>NORRBOTTENS LÄN</t>
        </is>
      </c>
      <c r="G83" t="inlineStr">
        <is>
          <t>ARJEPLOG</t>
        </is>
      </c>
      <c r="H83" t="inlineStr">
        <is>
          <t>SCA</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46303</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56782-2024</t>
        </is>
      </c>
      <c r="B85" t="inlineStr">
        <is>
          <t>avverkningsanmälan</t>
        </is>
      </c>
      <c r="C85" t="inlineStr">
        <is>
          <t>Föryngringsavverkning</t>
        </is>
      </c>
      <c r="D85" s="1" t="n">
        <v>45625</v>
      </c>
      <c r="E85" s="1" t="n">
        <v>46303</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56794-2024</t>
        </is>
      </c>
      <c r="B86" t="inlineStr">
        <is>
          <t>avverkningsanmälan</t>
        </is>
      </c>
      <c r="C86" t="inlineStr">
        <is>
          <t>Föryngringsavverkning</t>
        </is>
      </c>
      <c r="D86" s="1" t="n">
        <v>45625</v>
      </c>
      <c r="E86" s="1" t="n">
        <v>46303</v>
      </c>
      <c r="F86" t="inlineStr">
        <is>
          <t>NORRBOTTENS LÄN</t>
        </is>
      </c>
      <c r="G86" t="inlineStr">
        <is>
          <t>ARJEPLOG</t>
        </is>
      </c>
      <c r="I86" t="n">
        <v>7.5</v>
      </c>
      <c r="J86" t="n">
        <v>0</v>
      </c>
      <c r="K86" t="n">
        <v>0</v>
      </c>
      <c r="L86" t="n">
        <v>0</v>
      </c>
      <c r="M86" t="n">
        <v>0</v>
      </c>
      <c r="N86" t="n">
        <v>0</v>
      </c>
      <c r="O86" t="n">
        <v>0</v>
      </c>
      <c r="P86" t="n">
        <v>0</v>
      </c>
      <c r="Q86" t="n">
        <v>0</v>
      </c>
      <c r="R86" t="n">
        <v>0</v>
      </c>
      <c r="S86" t="n">
        <v>0</v>
      </c>
      <c r="T86" t="n">
        <v>0</v>
      </c>
      <c r="U86" t="n">
        <v>0</v>
      </c>
      <c r="V86" s="2" t="inlineStr"/>
    </row>
    <row r="87" ht="15" customHeight="1">
      <c r="A87" t="inlineStr">
        <is>
          <t>A 20319-2026</t>
        </is>
      </c>
      <c r="B87" t="inlineStr">
        <is>
          <t>avverkningsanmälan</t>
        </is>
      </c>
      <c r="C87" t="inlineStr">
        <is>
          <t>Föryngringsavverkning</t>
        </is>
      </c>
      <c r="D87" s="1" t="n">
        <v>46139</v>
      </c>
      <c r="E87" s="1" t="n">
        <v>46303</v>
      </c>
      <c r="F87" t="inlineStr">
        <is>
          <t>NORRBOTTENS LÄN</t>
        </is>
      </c>
      <c r="G87" t="inlineStr">
        <is>
          <t>ARJEPLOG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20326-2026</t>
        </is>
      </c>
      <c r="B88" t="inlineStr">
        <is>
          <t>avverkningsanmälan</t>
        </is>
      </c>
      <c r="C88" t="inlineStr">
        <is>
          <t>Föryngringsavverkning</t>
        </is>
      </c>
      <c r="D88" s="1" t="n">
        <v>46139</v>
      </c>
      <c r="E88" s="1" t="n">
        <v>46303</v>
      </c>
      <c r="F88" t="inlineStr">
        <is>
          <t>NORRBOTTENS LÄN</t>
        </is>
      </c>
      <c r="G88" t="inlineStr">
        <is>
          <t>ARJEPLOG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26472-2024</t>
        </is>
      </c>
      <c r="B89" t="inlineStr">
        <is>
          <t>avverkningsanmälan</t>
        </is>
      </c>
      <c r="C89" t="inlineStr">
        <is>
          <t>Föryngringsavverkning</t>
        </is>
      </c>
      <c r="D89" s="1" t="n">
        <v>45469</v>
      </c>
      <c r="E89" s="1" t="n">
        <v>46303</v>
      </c>
      <c r="F89" t="inlineStr">
        <is>
          <t>NORRBOTTENS LÄN</t>
        </is>
      </c>
      <c r="G89" t="inlineStr">
        <is>
          <t>ARJEPLOG</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17536-2023</t>
        </is>
      </c>
      <c r="B90" t="inlineStr">
        <is>
          <t>avverkningsanmälan</t>
        </is>
      </c>
      <c r="C90" t="inlineStr">
        <is>
          <t>Föryngringsavverkning</t>
        </is>
      </c>
      <c r="D90" s="1" t="n">
        <v>45034</v>
      </c>
      <c r="E90" s="1" t="n">
        <v>46303</v>
      </c>
      <c r="F90" t="inlineStr">
        <is>
          <t>NORRBOTTENS LÄN</t>
        </is>
      </c>
      <c r="G90" t="inlineStr">
        <is>
          <t>ARJEPLOG</t>
        </is>
      </c>
      <c r="H90" t="inlineStr">
        <is>
          <t>Övriga statliga verk och myndigheter</t>
        </is>
      </c>
      <c r="I90" t="n">
        <v>20.3</v>
      </c>
      <c r="J90" t="n">
        <v>0</v>
      </c>
      <c r="K90" t="n">
        <v>0</v>
      </c>
      <c r="L90" t="n">
        <v>0</v>
      </c>
      <c r="M90" t="n">
        <v>0</v>
      </c>
      <c r="N90" t="n">
        <v>0</v>
      </c>
      <c r="O90" t="n">
        <v>0</v>
      </c>
      <c r="P90" t="n">
        <v>0</v>
      </c>
      <c r="Q90" t="n">
        <v>0</v>
      </c>
      <c r="R90" t="n">
        <v>0</v>
      </c>
      <c r="S90" t="n">
        <v>0</v>
      </c>
      <c r="T90" t="n">
        <v>0</v>
      </c>
      <c r="U90" t="n">
        <v>0</v>
      </c>
      <c r="V90" s="2" t="inlineStr"/>
    </row>
    <row r="91" ht="15" customHeight="1">
      <c r="A91" t="inlineStr">
        <is>
          <t>A 27092-2022</t>
        </is>
      </c>
      <c r="B91" t="inlineStr">
        <is>
          <t>avverkningsanmälan</t>
        </is>
      </c>
      <c r="C91" t="inlineStr">
        <is>
          <t>Föryngringsavverkning</t>
        </is>
      </c>
      <c r="D91" s="1" t="n">
        <v>44741</v>
      </c>
      <c r="E91" s="1" t="n">
        <v>46303</v>
      </c>
      <c r="F91" t="inlineStr">
        <is>
          <t>NORRBOTTENS LÄN</t>
        </is>
      </c>
      <c r="G91" t="inlineStr">
        <is>
          <t>ARJEPLOG</t>
        </is>
      </c>
      <c r="I91" t="n">
        <v>15.6</v>
      </c>
      <c r="J91" t="n">
        <v>0</v>
      </c>
      <c r="K91" t="n">
        <v>0</v>
      </c>
      <c r="L91" t="n">
        <v>0</v>
      </c>
      <c r="M91" t="n">
        <v>0</v>
      </c>
      <c r="N91" t="n">
        <v>0</v>
      </c>
      <c r="O91" t="n">
        <v>0</v>
      </c>
      <c r="P91" t="n">
        <v>0</v>
      </c>
      <c r="Q91" t="n">
        <v>0</v>
      </c>
      <c r="R91" t="n">
        <v>0</v>
      </c>
      <c r="S91" t="n">
        <v>0</v>
      </c>
      <c r="T91" t="n">
        <v>0</v>
      </c>
      <c r="U91" t="n">
        <v>0</v>
      </c>
      <c r="V91" s="2" t="inlineStr"/>
    </row>
    <row r="92" ht="15" customHeight="1">
      <c r="A92" t="inlineStr">
        <is>
          <t>A 12409-2025</t>
        </is>
      </c>
      <c r="B92" t="inlineStr">
        <is>
          <t>avverkningsanmälan</t>
        </is>
      </c>
      <c r="C92" t="inlineStr">
        <is>
          <t>Föryngringsavverkning</t>
        </is>
      </c>
      <c r="D92" s="1" t="n">
        <v>45730</v>
      </c>
      <c r="E92" s="1" t="n">
        <v>46303</v>
      </c>
      <c r="F92" t="inlineStr">
        <is>
          <t>NORRBOTTENS LÄN</t>
        </is>
      </c>
      <c r="G92" t="inlineStr">
        <is>
          <t>ARJEPLOG</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59887-2025</t>
        </is>
      </c>
      <c r="B93" t="inlineStr">
        <is>
          <t>avverkningsanmälan</t>
        </is>
      </c>
      <c r="C93" t="inlineStr">
        <is>
          <t>Föryngringsavverkning</t>
        </is>
      </c>
      <c r="D93" s="1" t="n">
        <v>45993</v>
      </c>
      <c r="E93" s="1" t="n">
        <v>46303</v>
      </c>
      <c r="F93" t="inlineStr">
        <is>
          <t>NORRBOTTENS LÄN</t>
        </is>
      </c>
      <c r="G93" t="inlineStr">
        <is>
          <t>ARJEPLOG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60767-2025</t>
        </is>
      </c>
      <c r="B94" t="inlineStr">
        <is>
          <t>avverkningsanmälan</t>
        </is>
      </c>
      <c r="C94" t="inlineStr">
        <is>
          <t>Föryngringsavverkning</t>
        </is>
      </c>
      <c r="D94" s="1" t="n">
        <v>45999</v>
      </c>
      <c r="E94" s="1" t="n">
        <v>46303</v>
      </c>
      <c r="F94" t="inlineStr">
        <is>
          <t>NORRBOTTENS LÄN</t>
        </is>
      </c>
      <c r="G94" t="inlineStr">
        <is>
          <t>ARJEPLOG</t>
        </is>
      </c>
      <c r="I94" t="n">
        <v>11.3</v>
      </c>
      <c r="J94" t="n">
        <v>0</v>
      </c>
      <c r="K94" t="n">
        <v>0</v>
      </c>
      <c r="L94" t="n">
        <v>0</v>
      </c>
      <c r="M94" t="n">
        <v>0</v>
      </c>
      <c r="N94" t="n">
        <v>0</v>
      </c>
      <c r="O94" t="n">
        <v>0</v>
      </c>
      <c r="P94" t="n">
        <v>0</v>
      </c>
      <c r="Q94" t="n">
        <v>0</v>
      </c>
      <c r="R94" t="n">
        <v>0</v>
      </c>
      <c r="S94" t="n">
        <v>0</v>
      </c>
      <c r="T94" t="n">
        <v>0</v>
      </c>
      <c r="U94" t="n">
        <v>0</v>
      </c>
      <c r="V94" s="2" t="inlineStr"/>
    </row>
    <row r="95" ht="15" customHeight="1">
      <c r="A95" t="inlineStr">
        <is>
          <t>A 60766-2025</t>
        </is>
      </c>
      <c r="B95" t="inlineStr">
        <is>
          <t>avverkningsanmälan</t>
        </is>
      </c>
      <c r="C95" t="inlineStr">
        <is>
          <t>Föryngringsavverkning</t>
        </is>
      </c>
      <c r="D95" s="1" t="n">
        <v>45999</v>
      </c>
      <c r="E95" s="1" t="n">
        <v>46303</v>
      </c>
      <c r="F95" t="inlineStr">
        <is>
          <t>NORRBOTTENS LÄN</t>
        </is>
      </c>
      <c r="G95" t="inlineStr">
        <is>
          <t>ARJEPLOG</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46303</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29674-2025</t>
        </is>
      </c>
      <c r="B97" t="inlineStr">
        <is>
          <t>avverkningsanmälan</t>
        </is>
      </c>
      <c r="C97" t="inlineStr">
        <is>
          <t>Föryngringsavverkning</t>
        </is>
      </c>
      <c r="D97" s="1" t="n">
        <v>45825</v>
      </c>
      <c r="E97" s="1" t="n">
        <v>46303</v>
      </c>
      <c r="F97" t="inlineStr">
        <is>
          <t>NORRBOTTENS LÄN</t>
        </is>
      </c>
      <c r="G97" t="inlineStr">
        <is>
          <t>ARJEPLOG</t>
        </is>
      </c>
      <c r="H97" t="inlineStr">
        <is>
          <t>Allmännings- och besparingsskogar</t>
        </is>
      </c>
      <c r="I97" t="n">
        <v>25.1</v>
      </c>
      <c r="J97" t="n">
        <v>0</v>
      </c>
      <c r="K97" t="n">
        <v>0</v>
      </c>
      <c r="L97" t="n">
        <v>0</v>
      </c>
      <c r="M97" t="n">
        <v>0</v>
      </c>
      <c r="N97" t="n">
        <v>0</v>
      </c>
      <c r="O97" t="n">
        <v>0</v>
      </c>
      <c r="P97" t="n">
        <v>0</v>
      </c>
      <c r="Q97" t="n">
        <v>0</v>
      </c>
      <c r="R97" t="n">
        <v>0</v>
      </c>
      <c r="S97" t="n">
        <v>0</v>
      </c>
      <c r="T97" t="n">
        <v>0</v>
      </c>
      <c r="U97" t="n">
        <v>0</v>
      </c>
      <c r="V97" s="2" t="inlineStr"/>
    </row>
    <row r="98" ht="15" customHeight="1">
      <c r="A98" t="inlineStr">
        <is>
          <t>A 23330-2026</t>
        </is>
      </c>
      <c r="B98" t="inlineStr">
        <is>
          <t>avverkningsanmälan</t>
        </is>
      </c>
      <c r="C98" t="inlineStr">
        <is>
          <t>Föryngringsavverkning</t>
        </is>
      </c>
      <c r="D98" s="1" t="n">
        <v>46162</v>
      </c>
      <c r="E98" s="1" t="n">
        <v>46303</v>
      </c>
      <c r="F98" t="inlineStr">
        <is>
          <t>NORRBOTTENS LÄN</t>
        </is>
      </c>
      <c r="G98" t="inlineStr">
        <is>
          <t>ARJEPLOG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26811-2022</t>
        </is>
      </c>
      <c r="B99" t="inlineStr">
        <is>
          <t>avverkningsanmälan</t>
        </is>
      </c>
      <c r="C99" t="inlineStr">
        <is>
          <t>Avverkning för annat ändamål</t>
        </is>
      </c>
      <c r="D99" s="1" t="n">
        <v>44735</v>
      </c>
      <c r="E99" s="1" t="n">
        <v>46303</v>
      </c>
      <c r="F99" t="inlineStr">
        <is>
          <t>NORRBOTTENS LÄN</t>
        </is>
      </c>
      <c r="G99" t="inlineStr">
        <is>
          <t>ARJEPLOG</t>
        </is>
      </c>
      <c r="H99" t="inlineStr">
        <is>
          <t>Övriga statliga verk och myndigheter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28354-2022</t>
        </is>
      </c>
      <c r="B100" t="inlineStr">
        <is>
          <t>avverkningsanmälan</t>
        </is>
      </c>
      <c r="C100" t="inlineStr">
        <is>
          <t>Avverkning för annat ändamål</t>
        </is>
      </c>
      <c r="D100" s="1" t="n">
        <v>44735</v>
      </c>
      <c r="E100" s="1" t="n">
        <v>46303</v>
      </c>
      <c r="F100" t="inlineStr">
        <is>
          <t>NORRBOTTENS LÄN</t>
        </is>
      </c>
      <c r="G100" t="inlineStr">
        <is>
          <t>ARJEPLOG</t>
        </is>
      </c>
      <c r="H100" t="inlineStr">
        <is>
          <t>Övriga statliga verk och myndigheter</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44218-2023</t>
        </is>
      </c>
      <c r="B101" t="inlineStr">
        <is>
          <t>avverkningsanmälan</t>
        </is>
      </c>
      <c r="C101" t="inlineStr">
        <is>
          <t>Avverkning för annat ändamål</t>
        </is>
      </c>
      <c r="D101" s="1" t="n">
        <v>45183</v>
      </c>
      <c r="E101" s="1" t="n">
        <v>46303</v>
      </c>
      <c r="F101" t="inlineStr">
        <is>
          <t>NORRBOTTENS LÄN</t>
        </is>
      </c>
      <c r="G101" t="inlineStr">
        <is>
          <t>ARJEPLOG</t>
        </is>
      </c>
      <c r="H101" t="inlineStr">
        <is>
          <t>Allmännings- och besparingsskogar</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61729-2024</t>
        </is>
      </c>
      <c r="B102" t="inlineStr">
        <is>
          <t>avverkningsanmälan</t>
        </is>
      </c>
      <c r="C102" t="inlineStr">
        <is>
          <t>Avverkning för annat ändamål</t>
        </is>
      </c>
      <c r="D102" s="1" t="n">
        <v>45649</v>
      </c>
      <c r="E102" s="1" t="n">
        <v>46303</v>
      </c>
      <c r="F102" t="inlineStr">
        <is>
          <t>NORRBOTTENS LÄN</t>
        </is>
      </c>
      <c r="G102" t="inlineStr">
        <is>
          <t>ARJEPLOG</t>
        </is>
      </c>
      <c r="H102" t="inlineStr">
        <is>
          <t>Övriga statliga verk och myndigheter</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46303</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53822-2024</t>
        </is>
      </c>
      <c r="B104" t="inlineStr">
        <is>
          <t>avverkningsanmälan</t>
        </is>
      </c>
      <c r="C104" t="inlineStr">
        <is>
          <t>Föryngringsavverkning</t>
        </is>
      </c>
      <c r="D104" s="1" t="n">
        <v>45614</v>
      </c>
      <c r="E104" s="1" t="n">
        <v>46303</v>
      </c>
      <c r="F104" t="inlineStr">
        <is>
          <t>NORRBOTTENS LÄN</t>
        </is>
      </c>
      <c r="G104" t="inlineStr">
        <is>
          <t>ARJEPLOG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64840-2023</t>
        </is>
      </c>
      <c r="B105" t="inlineStr">
        <is>
          <t>avverkningsanmälan</t>
        </is>
      </c>
      <c r="C105" t="inlineStr">
        <is>
          <t>Föryngringsavverkning</t>
        </is>
      </c>
      <c r="D105" s="1" t="n">
        <v>45281</v>
      </c>
      <c r="E105" s="1" t="n">
        <v>46303</v>
      </c>
      <c r="F105" t="inlineStr">
        <is>
          <t>NORRBOTTENS LÄN</t>
        </is>
      </c>
      <c r="G105" t="inlineStr">
        <is>
          <t>ARJEPLOG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26048-2026</t>
        </is>
      </c>
      <c r="B106" t="inlineStr">
        <is>
          <t>avverkningsanmälan</t>
        </is>
      </c>
      <c r="C106" t="inlineStr">
        <is>
          <t>Föryngringsavverkning</t>
        </is>
      </c>
      <c r="D106" s="1" t="n">
        <v>46181</v>
      </c>
      <c r="E106" s="1" t="n">
        <v>46303</v>
      </c>
      <c r="F106" t="inlineStr">
        <is>
          <t>NORRBOTTENS LÄN</t>
        </is>
      </c>
      <c r="G106" t="inlineStr">
        <is>
          <t>ARJEPLOG</t>
        </is>
      </c>
      <c r="I106" t="n">
        <v>16.9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64816-2023</t>
        </is>
      </c>
      <c r="B107" t="inlineStr">
        <is>
          <t>avverkningsanmälan</t>
        </is>
      </c>
      <c r="C107" t="inlineStr">
        <is>
          <t>Föryngringsavverkning</t>
        </is>
      </c>
      <c r="D107" s="1" t="n">
        <v>45281</v>
      </c>
      <c r="E107" s="1" t="n">
        <v>46303</v>
      </c>
      <c r="F107" t="inlineStr">
        <is>
          <t>NORRBOTTENS LÄN</t>
        </is>
      </c>
      <c r="G107" t="inlineStr">
        <is>
          <t>ARJEPLOG</t>
        </is>
      </c>
      <c r="I107" t="n">
        <v>13.4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12447-2025</t>
        </is>
      </c>
      <c r="B108" t="inlineStr">
        <is>
          <t>avverkningsanmälan</t>
        </is>
      </c>
      <c r="C108" t="inlineStr">
        <is>
          <t>Föryngringsavverkning</t>
        </is>
      </c>
      <c r="D108" s="1" t="n">
        <v>45730</v>
      </c>
      <c r="E108" s="1" t="n">
        <v>46303</v>
      </c>
      <c r="F108" t="inlineStr">
        <is>
          <t>NORRBOTTENS LÄN</t>
        </is>
      </c>
      <c r="G108" t="inlineStr">
        <is>
          <t>ARJEPLOG</t>
        </is>
      </c>
      <c r="I108" t="n">
        <v>7.9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25239-2023</t>
        </is>
      </c>
      <c r="B109" t="inlineStr">
        <is>
          <t>avverkningsanmälan</t>
        </is>
      </c>
      <c r="C109" t="inlineStr">
        <is>
          <t>Föryngringsavverkning</t>
        </is>
      </c>
      <c r="D109" s="1" t="n">
        <v>45079</v>
      </c>
      <c r="E109" s="1" t="n">
        <v>46303</v>
      </c>
      <c r="F109" t="inlineStr">
        <is>
          <t>NORRBOTTENS LÄN</t>
        </is>
      </c>
      <c r="G109" t="inlineStr">
        <is>
          <t>ARJEPLOG</t>
        </is>
      </c>
      <c r="H109" t="inlineStr">
        <is>
          <t>Övriga statliga verk och myndigheter</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27102-2026</t>
        </is>
      </c>
      <c r="B110" t="inlineStr">
        <is>
          <t>avverkningsanmälan</t>
        </is>
      </c>
      <c r="C110" t="inlineStr">
        <is>
          <t>Avverkning för annat ändamål</t>
        </is>
      </c>
      <c r="D110" s="1" t="n">
        <v>46188</v>
      </c>
      <c r="E110" s="1" t="n">
        <v>46303</v>
      </c>
      <c r="F110" t="inlineStr">
        <is>
          <t>NORRBOTTENS LÄN</t>
        </is>
      </c>
      <c r="G110" t="inlineStr">
        <is>
          <t>ARJEPLOG</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28560-2026</t>
        </is>
      </c>
      <c r="B111" t="inlineStr">
        <is>
          <t>avverkningsanmälan</t>
        </is>
      </c>
      <c r="C111" t="inlineStr">
        <is>
          <t>Föryngringsavverkning</t>
        </is>
      </c>
      <c r="D111" s="1" t="n">
        <v>46197</v>
      </c>
      <c r="E111" s="1" t="n">
        <v>46303</v>
      </c>
      <c r="F111" t="inlineStr">
        <is>
          <t>NORRBOTTENS LÄN</t>
        </is>
      </c>
      <c r="G111" t="inlineStr">
        <is>
          <t>ARJEPLOG</t>
        </is>
      </c>
      <c r="H111" t="inlineStr">
        <is>
          <t>Allmännings- och besparingsskogar</t>
        </is>
      </c>
      <c r="I111" t="n">
        <v>14.2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46910-2024</t>
        </is>
      </c>
      <c r="B112" t="inlineStr">
        <is>
          <t>avverkningsanmälan</t>
        </is>
      </c>
      <c r="C112" t="inlineStr">
        <is>
          <t>Föryngringsavverkning</t>
        </is>
      </c>
      <c r="D112" s="1" t="n">
        <v>45583</v>
      </c>
      <c r="E112" s="1" t="n">
        <v>46303</v>
      </c>
      <c r="F112" t="inlineStr">
        <is>
          <t>NORRBOTTENS LÄN</t>
        </is>
      </c>
      <c r="G112" t="inlineStr">
        <is>
          <t>ARJEPLOG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58989-2024</t>
        </is>
      </c>
      <c r="B113" t="inlineStr">
        <is>
          <t>avverkningsanmälan</t>
        </is>
      </c>
      <c r="C113" t="inlineStr">
        <is>
          <t>Avverkning för annat ändamål</t>
        </is>
      </c>
      <c r="D113" s="1" t="n">
        <v>45636</v>
      </c>
      <c r="E113" s="1" t="n">
        <v>46303</v>
      </c>
      <c r="F113" t="inlineStr">
        <is>
          <t>NORRBOTTENS LÄN</t>
        </is>
      </c>
      <c r="G113" t="inlineStr">
        <is>
          <t>ARJEPLOG</t>
        </is>
      </c>
      <c r="H113" t="inlineStr">
        <is>
          <t>Sveaskog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58370-2023</t>
        </is>
      </c>
      <c r="B114" t="inlineStr">
        <is>
          <t>avverkningsanmälan</t>
        </is>
      </c>
      <c r="C114" t="inlineStr">
        <is>
          <t>Avverkning för att bevara och utveckla /försöksver</t>
        </is>
      </c>
      <c r="D114" s="1" t="n">
        <v>45250</v>
      </c>
      <c r="E114" s="1" t="n">
        <v>46303</v>
      </c>
      <c r="F114" t="inlineStr">
        <is>
          <t>NORRBOTTENS LÄN</t>
        </is>
      </c>
      <c r="G114" t="inlineStr">
        <is>
          <t>ARJEPLOG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28799-2026</t>
        </is>
      </c>
      <c r="B115" t="inlineStr">
        <is>
          <t>avverkningsanmälan</t>
        </is>
      </c>
      <c r="C115" t="inlineStr">
        <is>
          <t>Föryngringsavverkning</t>
        </is>
      </c>
      <c r="D115" s="1" t="n">
        <v>46198</v>
      </c>
      <c r="E115" s="1" t="n">
        <v>46303</v>
      </c>
      <c r="F115" t="inlineStr">
        <is>
          <t>NORRBOTTENS LÄN</t>
        </is>
      </c>
      <c r="G115" t="inlineStr">
        <is>
          <t>ARJEPLOG</t>
        </is>
      </c>
      <c r="H115" t="inlineStr">
        <is>
          <t>Allmännings- och besparingsskogar</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28804-2026</t>
        </is>
      </c>
      <c r="B116" t="inlineStr">
        <is>
          <t>avverkningsanmälan</t>
        </is>
      </c>
      <c r="C116" t="inlineStr">
        <is>
          <t>Föryngringsavverkning</t>
        </is>
      </c>
      <c r="D116" s="1" t="n">
        <v>46198</v>
      </c>
      <c r="E116" s="1" t="n">
        <v>46303</v>
      </c>
      <c r="F116" t="inlineStr">
        <is>
          <t>NORRBOTTENS LÄN</t>
        </is>
      </c>
      <c r="G116" t="inlineStr">
        <is>
          <t>ARJEPLOG</t>
        </is>
      </c>
      <c r="H116" t="inlineStr">
        <is>
          <t>Allmännings- och besparingsskogar</t>
        </is>
      </c>
      <c r="I116" t="n">
        <v>11.5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25270-2023</t>
        </is>
      </c>
      <c r="B117" t="inlineStr">
        <is>
          <t>avverkningsanmälan</t>
        </is>
      </c>
      <c r="C117" t="inlineStr">
        <is>
          <t>Föryngringsavverkning</t>
        </is>
      </c>
      <c r="D117" s="1" t="n">
        <v>45079</v>
      </c>
      <c r="E117" s="1" t="n">
        <v>46303</v>
      </c>
      <c r="F117" t="inlineStr">
        <is>
          <t>NORRBOTTENS LÄN</t>
        </is>
      </c>
      <c r="G117" t="inlineStr">
        <is>
          <t>ARJEPLOG</t>
        </is>
      </c>
      <c r="H117" t="inlineStr">
        <is>
          <t>Övriga statliga verk och myndigheter</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27836-2026</t>
        </is>
      </c>
      <c r="B118" t="inlineStr">
        <is>
          <t>avverkningsanmälan</t>
        </is>
      </c>
      <c r="C118" t="inlineStr">
        <is>
          <t>Avverkning för annat ändamål</t>
        </is>
      </c>
      <c r="D118" s="1" t="n">
        <v>46189</v>
      </c>
      <c r="E118" s="1" t="n">
        <v>46303</v>
      </c>
      <c r="F118" t="inlineStr">
        <is>
          <t>NORRBOTTENS LÄN</t>
        </is>
      </c>
      <c r="G118" t="inlineStr">
        <is>
          <t>ARJEPLOG</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28787-2026</t>
        </is>
      </c>
      <c r="B119" t="inlineStr">
        <is>
          <t>avverkningsanmälan</t>
        </is>
      </c>
      <c r="C119" t="inlineStr">
        <is>
          <t>Föryngringsavverkning</t>
        </is>
      </c>
      <c r="D119" s="1" t="n">
        <v>46198</v>
      </c>
      <c r="E119" s="1" t="n">
        <v>46303</v>
      </c>
      <c r="F119" t="inlineStr">
        <is>
          <t>NORRBOTTENS LÄN</t>
        </is>
      </c>
      <c r="G119" t="inlineStr">
        <is>
          <t>ARJEPLOG</t>
        </is>
      </c>
      <c r="H119" t="inlineStr">
        <is>
          <t>Allmännings- och besparingsskogar</t>
        </is>
      </c>
      <c r="I119" t="n">
        <v>13.3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28532-2026</t>
        </is>
      </c>
      <c r="B120" t="inlineStr">
        <is>
          <t>avverkningsanmälan</t>
        </is>
      </c>
      <c r="C120" t="inlineStr">
        <is>
          <t>Avverkning för annat ändamål</t>
        </is>
      </c>
      <c r="D120" s="1" t="n">
        <v>46197</v>
      </c>
      <c r="E120" s="1" t="n">
        <v>46303</v>
      </c>
      <c r="F120" t="inlineStr">
        <is>
          <t>NORRBOTTENS LÄN</t>
        </is>
      </c>
      <c r="G120" t="inlineStr">
        <is>
          <t>ARJEPLOG</t>
        </is>
      </c>
      <c r="H120" t="inlineStr">
        <is>
          <t>Allmännings- och besparingsskogar</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28679-2026</t>
        </is>
      </c>
      <c r="B121" t="inlineStr">
        <is>
          <t>avverkningsanmälan</t>
        </is>
      </c>
      <c r="C121" t="inlineStr">
        <is>
          <t>Föryngringsavverkning</t>
        </is>
      </c>
      <c r="D121" s="1" t="n">
        <v>46198</v>
      </c>
      <c r="E121" s="1" t="n">
        <v>46303</v>
      </c>
      <c r="F121" t="inlineStr">
        <is>
          <t>NORRBOTTENS LÄN</t>
        </is>
      </c>
      <c r="G121" t="inlineStr">
        <is>
          <t>ARJEPLOG</t>
        </is>
      </c>
      <c r="H121" t="inlineStr">
        <is>
          <t>Allmännings- och besparingsskogar</t>
        </is>
      </c>
      <c r="I121" t="n">
        <v>17.2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28551-2026</t>
        </is>
      </c>
      <c r="B122" t="inlineStr">
        <is>
          <t>avverkningsanmälan</t>
        </is>
      </c>
      <c r="C122" t="inlineStr">
        <is>
          <t>Föryngringsavverkning</t>
        </is>
      </c>
      <c r="D122" s="1" t="n">
        <v>46197</v>
      </c>
      <c r="E122" s="1" t="n">
        <v>46303</v>
      </c>
      <c r="F122" t="inlineStr">
        <is>
          <t>NORRBOTTENS LÄN</t>
        </is>
      </c>
      <c r="G122" t="inlineStr">
        <is>
          <t>ARJEPLOG</t>
        </is>
      </c>
      <c r="H122" t="inlineStr">
        <is>
          <t>Allmännings- och besparingsskogar</t>
        </is>
      </c>
      <c r="I122" t="n">
        <v>22.9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55266-2024</t>
        </is>
      </c>
      <c r="B123" t="inlineStr">
        <is>
          <t>avverkningsanmälan</t>
        </is>
      </c>
      <c r="C123" t="inlineStr">
        <is>
          <t>Föryngringsavverkning</t>
        </is>
      </c>
      <c r="D123" s="1" t="n">
        <v>45621</v>
      </c>
      <c r="E123" s="1" t="n">
        <v>46303</v>
      </c>
      <c r="F123" t="inlineStr">
        <is>
          <t>NORRBOTTENS LÄN</t>
        </is>
      </c>
      <c r="G123" t="inlineStr">
        <is>
          <t>ARJEPLOG</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20789-2022</t>
        </is>
      </c>
      <c r="B124" t="inlineStr">
        <is>
          <t>avverkningsanmälan</t>
        </is>
      </c>
      <c r="C124" t="inlineStr">
        <is>
          <t>Föryngringsavverkning</t>
        </is>
      </c>
      <c r="D124" s="1" t="n">
        <v>44701</v>
      </c>
      <c r="E124" s="1" t="n">
        <v>46303</v>
      </c>
      <c r="F124" t="inlineStr">
        <is>
          <t>NORRBOTTENS LÄN</t>
        </is>
      </c>
      <c r="G124" t="inlineStr">
        <is>
          <t>ARJEPLOG</t>
        </is>
      </c>
      <c r="I124" t="n">
        <v>20.3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36006-2026</t>
        </is>
      </c>
      <c r="B125" t="inlineStr">
        <is>
          <t>avverkningsanmälan</t>
        </is>
      </c>
      <c r="C125" t="inlineStr">
        <is>
          <t>Avverkning för annat ändamål</t>
        </is>
      </c>
      <c r="D125" s="1" t="n">
        <v>46266</v>
      </c>
      <c r="E125" s="1" t="n">
        <v>46303</v>
      </c>
      <c r="F125" t="inlineStr">
        <is>
          <t>NORRBOTTENS LÄN</t>
        </is>
      </c>
      <c r="G125" t="inlineStr">
        <is>
          <t>ARJEPLOG</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26486-2024</t>
        </is>
      </c>
      <c r="B126" t="inlineStr">
        <is>
          <t>avverkningsanmälan</t>
        </is>
      </c>
      <c r="C126" t="inlineStr">
        <is>
          <t>Föryngringsavverkning</t>
        </is>
      </c>
      <c r="D126" s="1" t="n">
        <v>45469</v>
      </c>
      <c r="E126" s="1" t="n">
        <v>46303</v>
      </c>
      <c r="F126" t="inlineStr">
        <is>
          <t>NORRBOTTENS LÄN</t>
        </is>
      </c>
      <c r="G126" t="inlineStr">
        <is>
          <t>ARJEPLOG</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42274-2022</t>
        </is>
      </c>
      <c r="B127" t="inlineStr">
        <is>
          <t>avverkningsanmälan</t>
        </is>
      </c>
      <c r="C127" t="inlineStr">
        <is>
          <t>Föryngringsavverkning</t>
        </is>
      </c>
      <c r="D127" s="1" t="n">
        <v>44830</v>
      </c>
      <c r="E127" s="1" t="n">
        <v>46303</v>
      </c>
      <c r="F127" t="inlineStr">
        <is>
          <t>NORRBOTTENS LÄN</t>
        </is>
      </c>
      <c r="G127" t="inlineStr">
        <is>
          <t>ARJEPLOG</t>
        </is>
      </c>
      <c r="H127" t="inlineStr">
        <is>
          <t>SCA</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36470-2026</t>
        </is>
      </c>
      <c r="B128" t="inlineStr">
        <is>
          <t>avverkningsanmälan</t>
        </is>
      </c>
      <c r="C128" t="inlineStr">
        <is>
          <t>Föryngringsavverkning</t>
        </is>
      </c>
      <c r="D128" s="1" t="n">
        <v>46269</v>
      </c>
      <c r="E128" s="1" t="n">
        <v>46303</v>
      </c>
      <c r="F128" t="inlineStr">
        <is>
          <t>NORRBOTTENS LÄN</t>
        </is>
      </c>
      <c r="G128" t="inlineStr">
        <is>
          <t>ARJEPLOG</t>
        </is>
      </c>
      <c r="H128" t="inlineStr">
        <is>
          <t>Sveaskog</t>
        </is>
      </c>
      <c r="I128" t="n">
        <v>13.9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390-2026</t>
        </is>
      </c>
      <c r="B129" t="inlineStr">
        <is>
          <t>avverkningsanmälan</t>
        </is>
      </c>
      <c r="C129" t="inlineStr">
        <is>
          <t>Föryngringsavverkning</t>
        </is>
      </c>
      <c r="D129" s="1" t="n">
        <v>46028</v>
      </c>
      <c r="E129" s="1" t="n">
        <v>46303</v>
      </c>
      <c r="F129" t="inlineStr">
        <is>
          <t>NORRBOTTENS LÄN</t>
        </is>
      </c>
      <c r="G129" t="inlineStr">
        <is>
          <t>ARJEPLOG</t>
        </is>
      </c>
      <c r="I129" t="n">
        <v>19.5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39456-2026</t>
        </is>
      </c>
      <c r="B130" t="inlineStr">
        <is>
          <t>avverkningsanmälan</t>
        </is>
      </c>
      <c r="C130" t="inlineStr">
        <is>
          <t>Föryngringsavverkning</t>
        </is>
      </c>
      <c r="D130" s="1" t="n">
        <v>46288</v>
      </c>
      <c r="E130" s="1" t="n">
        <v>46303</v>
      </c>
      <c r="F130" t="inlineStr">
        <is>
          <t>NORRBOTTENS LÄN</t>
        </is>
      </c>
      <c r="G130" t="inlineStr">
        <is>
          <t>ARJEPLOG</t>
        </is>
      </c>
      <c r="I130" t="n">
        <v>16.2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38823-2026</t>
        </is>
      </c>
      <c r="B131" t="inlineStr">
        <is>
          <t>avverkningsanmälan</t>
        </is>
      </c>
      <c r="C131" t="inlineStr">
        <is>
          <t>Avverkning för annat ändamål</t>
        </is>
      </c>
      <c r="D131" s="1" t="n">
        <v>46286</v>
      </c>
      <c r="E131" s="1" t="n">
        <v>46303</v>
      </c>
      <c r="F131" t="inlineStr">
        <is>
          <t>NORRBOTTENS LÄN</t>
        </is>
      </c>
      <c r="G131" t="inlineStr">
        <is>
          <t>ARJEPLOG</t>
        </is>
      </c>
      <c r="H131" t="inlineStr">
        <is>
          <t>Kyrkan</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20322-2026</t>
        </is>
      </c>
      <c r="B132" t="inlineStr">
        <is>
          <t>avverkningsanmälan</t>
        </is>
      </c>
      <c r="C132" t="inlineStr">
        <is>
          <t>Föryngringsavverkning</t>
        </is>
      </c>
      <c r="D132" s="1" t="n">
        <v>46139</v>
      </c>
      <c r="E132" s="1" t="n">
        <v>46303</v>
      </c>
      <c r="F132" t="inlineStr">
        <is>
          <t>NORRBOTTENS LÄN</t>
        </is>
      </c>
      <c r="G132" t="inlineStr">
        <is>
          <t>ARJEPLOG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33993-2026</t>
        </is>
      </c>
      <c r="B133" t="inlineStr">
        <is>
          <t>avverkningsanmälan</t>
        </is>
      </c>
      <c r="C133" t="inlineStr">
        <is>
          <t>Avverkning för annat ändamål</t>
        </is>
      </c>
      <c r="D133" s="1" t="n">
        <v>46252</v>
      </c>
      <c r="E133" s="1" t="n">
        <v>46303</v>
      </c>
      <c r="F133" t="inlineStr">
        <is>
          <t>NORRBOTTENS LÄN</t>
        </is>
      </c>
      <c r="G133" t="inlineStr">
        <is>
          <t>ARJEPLOG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41717-2026</t>
        </is>
      </c>
      <c r="B134" t="inlineStr">
        <is>
          <t>avverkningsanmälan</t>
        </is>
      </c>
      <c r="C134" t="inlineStr">
        <is>
          <t>Föryngringsavverkning</t>
        </is>
      </c>
      <c r="D134" s="1" t="n">
        <v>46302</v>
      </c>
      <c r="E134" s="1" t="n">
        <v>46303</v>
      </c>
      <c r="F134" t="inlineStr">
        <is>
          <t>NORRBOTTENS LÄN</t>
        </is>
      </c>
      <c r="G134" t="inlineStr">
        <is>
          <t>ARJEPLOG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41587-2026</t>
        </is>
      </c>
      <c r="B135" t="inlineStr">
        <is>
          <t>avverkningsanmälan</t>
        </is>
      </c>
      <c r="C135" t="inlineStr">
        <is>
          <t>Föryngringsavverkning</t>
        </is>
      </c>
      <c r="D135" s="1" t="n">
        <v>46302</v>
      </c>
      <c r="E135" s="1" t="n">
        <v>46303</v>
      </c>
      <c r="F135" t="inlineStr">
        <is>
          <t>NORRBOTTENS LÄN</t>
        </is>
      </c>
      <c r="G135" t="inlineStr">
        <is>
          <t>ARJEPLOG</t>
        </is>
      </c>
      <c r="I135" t="n">
        <v>7</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46303</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2026-10-08T02:05:35Z</dcterms:created>
  <dcterms:modified xmlns:dcterms="http://purl.org/dc/terms/" xmlns:xsi="http://www.w3.org/2001/XMLSchema-instance" xsi:type="dcterms:W3CDTF">2026-10-08T02:05:35Z</dcterms:modified>
</cp:coreProperties>
</file>