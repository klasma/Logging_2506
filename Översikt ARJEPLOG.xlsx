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46230</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46230</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46230</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46230</v>
      </c>
      <c r="F5" t="inlineStr">
        <is>
          <t>NORRBOTTENS LÄN</t>
        </is>
      </c>
      <c r="G5" t="inlineStr">
        <is>
          <t>ARJEPLOG</t>
        </is>
      </c>
      <c r="I5" t="n">
        <v>12.9</v>
      </c>
      <c r="J5" t="n">
        <v>8</v>
      </c>
      <c r="K5" t="n">
        <v>11</v>
      </c>
      <c r="L5" t="n">
        <v>15</v>
      </c>
      <c r="M5" t="n">
        <v>8</v>
      </c>
      <c r="N5" t="n">
        <v>0</v>
      </c>
      <c r="O5" t="n">
        <v>0</v>
      </c>
      <c r="P5" t="n">
        <v>0</v>
      </c>
      <c r="Q5" t="n">
        <v>23</v>
      </c>
      <c r="R5" t="n">
        <v>8</v>
      </c>
      <c r="S5" t="n">
        <v>36</v>
      </c>
      <c r="T5" t="n">
        <v>254</v>
      </c>
      <c r="U5" t="n">
        <v>254</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45924-2023</t>
        </is>
      </c>
      <c r="B6" t="inlineStr">
        <is>
          <t>avverkningsanmälan</t>
        </is>
      </c>
      <c r="C6" t="inlineStr">
        <is>
          <t>Föryngringsavverkning</t>
        </is>
      </c>
      <c r="D6" s="1" t="n">
        <v>45189</v>
      </c>
      <c r="E6" s="1" t="n">
        <v>46230</v>
      </c>
      <c r="F6" t="inlineStr">
        <is>
          <t>NORRBOTTENS LÄN</t>
        </is>
      </c>
      <c r="G6" t="inlineStr">
        <is>
          <t>ARJEPLOG</t>
        </is>
      </c>
      <c r="I6" t="n">
        <v>11.2</v>
      </c>
      <c r="J6" t="n">
        <v>4</v>
      </c>
      <c r="K6" t="n">
        <v>6</v>
      </c>
      <c r="L6" t="n">
        <v>18</v>
      </c>
      <c r="M6" t="n">
        <v>8</v>
      </c>
      <c r="N6" t="n">
        <v>0</v>
      </c>
      <c r="O6" t="n">
        <v>0</v>
      </c>
      <c r="P6" t="n">
        <v>0</v>
      </c>
      <c r="Q6" t="n">
        <v>26</v>
      </c>
      <c r="R6" t="n">
        <v>8</v>
      </c>
      <c r="S6" t="n">
        <v>33</v>
      </c>
      <c r="T6" t="n">
        <v>133</v>
      </c>
      <c r="U6" t="n">
        <v>133</v>
      </c>
      <c r="V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6">
        <f>HYPERLINK("https://klasma.github.io/Logging_2506/artfynd/A 45924-2023 artfynd.xlsx", "A 45924-2023")</f>
        <v/>
      </c>
      <c r="X6">
        <f>HYPERLINK("https://klasma.github.io/Logging_2506/kartor/A 45924-2023 karta.png", "A 45924-2023")</f>
        <v/>
      </c>
      <c r="Y6">
        <f>HYPERLINK("https://klasma.github.io/Logging_2506/kartor_geotiff/A 45924-2023 georefererad karta.tif", "A 45924-2023")</f>
        <v/>
      </c>
      <c r="AA6">
        <f>HYPERLINK("https://klasma.github.io/Logging_2506/klagomål/A 45924-2023 FSC-klagomål.docx", "A 45924-2023")</f>
        <v/>
      </c>
      <c r="AB6">
        <f>HYPERLINK("https://klasma.github.io/Logging_2506/klagomålsmail/A 45924-2023 FSC-klagomål mail.docx", "A 45924-2023")</f>
        <v/>
      </c>
      <c r="AC6">
        <f>HYPERLINK("https://klasma.github.io/Logging_2506/tillsyn/A 45924-2023 tillsynsbegäran.docx", "A 45924-2023")</f>
        <v/>
      </c>
      <c r="AD6">
        <f>HYPERLINK("https://klasma.github.io/Logging_2506/tillsynsmail/A 45924-2023 tillsynsbegäran mail.docx", "A 45924-2023")</f>
        <v/>
      </c>
      <c r="AE6">
        <f>HYPERLINK("https://klasma.github.io/Logging_2506/fåglar/A 45924-2023 prioriterade fågelarter.docx", "A 45924-2023")</f>
        <v/>
      </c>
    </row>
    <row r="7" ht="15" customHeight="1">
      <c r="A7" t="inlineStr">
        <is>
          <t>A 64809-2023</t>
        </is>
      </c>
      <c r="B7" t="inlineStr">
        <is>
          <t>avverkningsanmälan</t>
        </is>
      </c>
      <c r="C7" t="inlineStr">
        <is>
          <t>Föryngringsavverkning</t>
        </is>
      </c>
      <c r="D7" s="1" t="n">
        <v>45281</v>
      </c>
      <c r="E7" s="1" t="n">
        <v>46230</v>
      </c>
      <c r="F7" t="inlineStr">
        <is>
          <t>NORRBOTTENS LÄN</t>
        </is>
      </c>
      <c r="G7" t="inlineStr">
        <is>
          <t>ARJEPLOG</t>
        </is>
      </c>
      <c r="I7" t="n">
        <v>17.8</v>
      </c>
      <c r="J7" t="n">
        <v>7</v>
      </c>
      <c r="K7" t="n">
        <v>10</v>
      </c>
      <c r="L7" t="n">
        <v>17</v>
      </c>
      <c r="M7" t="n">
        <v>3</v>
      </c>
      <c r="N7" t="n">
        <v>0</v>
      </c>
      <c r="O7" t="n">
        <v>0</v>
      </c>
      <c r="P7" t="n">
        <v>0</v>
      </c>
      <c r="Q7" t="n">
        <v>20</v>
      </c>
      <c r="R7" t="n">
        <v>3</v>
      </c>
      <c r="S7" t="n">
        <v>33</v>
      </c>
      <c r="T7" t="n">
        <v>100</v>
      </c>
      <c r="U7" t="n">
        <v>100</v>
      </c>
      <c r="V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7">
        <f>HYPERLINK("https://klasma.github.io/Logging_2506/artfynd/A 64809-2023 artfynd.xlsx", "A 64809-2023")</f>
        <v/>
      </c>
      <c r="X7">
        <f>HYPERLINK("https://klasma.github.io/Logging_2506/kartor/A 64809-2023 karta.png", "A 64809-2023")</f>
        <v/>
      </c>
      <c r="Y7">
        <f>HYPERLINK("https://klasma.github.io/Logging_2506/kartor_geotiff/A 64809-2023 georefererad karta.tif", "A 64809-2023")</f>
        <v/>
      </c>
      <c r="AA7">
        <f>HYPERLINK("https://klasma.github.io/Logging_2506/klagomål/A 64809-2023 FSC-klagomål.docx", "A 64809-2023")</f>
        <v/>
      </c>
      <c r="AB7">
        <f>HYPERLINK("https://klasma.github.io/Logging_2506/klagomålsmail/A 64809-2023 FSC-klagomål mail.docx", "A 64809-2023")</f>
        <v/>
      </c>
      <c r="AC7">
        <f>HYPERLINK("https://klasma.github.io/Logging_2506/tillsyn/A 64809-2023 tillsynsbegäran.docx", "A 64809-2023")</f>
        <v/>
      </c>
      <c r="AD7">
        <f>HYPERLINK("https://klasma.github.io/Logging_2506/tillsynsmail/A 64809-2023 tillsynsbegäran mail.docx", "A 64809-2023")</f>
        <v/>
      </c>
      <c r="AE7">
        <f>HYPERLINK("https://klasma.github.io/Logging_2506/fåglar/A 64809-2023 prioriterade fågelarter.docx", "A 64809-2023")</f>
        <v/>
      </c>
    </row>
    <row r="8" ht="15" customHeight="1">
      <c r="A8" t="inlineStr">
        <is>
          <t>A 29667-2025</t>
        </is>
      </c>
      <c r="B8" t="inlineStr">
        <is>
          <t>avverkningsanmälan</t>
        </is>
      </c>
      <c r="C8" t="inlineStr">
        <is>
          <t>Föryngringsavverkning</t>
        </is>
      </c>
      <c r="D8" s="1" t="n">
        <v>45825</v>
      </c>
      <c r="E8" s="1" t="n">
        <v>46230</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260</v>
      </c>
      <c r="U8" t="n">
        <v>260</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46230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46230</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46230</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46230</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46230</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46230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46230</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46230</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46230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46230</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46230</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46230</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46230</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46230</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46230</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46230</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46230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46230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46230</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46230</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46230</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46230</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46230</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46230</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46230</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46230</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46230</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46230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46230</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46230</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46230</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46230</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46230</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46230</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46230</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46230</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46230</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46230</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46230</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46230</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46230</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46230</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46230</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46230</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46230</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46230</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46230</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46230</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20319-2026</t>
        </is>
      </c>
      <c r="B70" t="inlineStr">
        <is>
          <t>avverkningsanmälan</t>
        </is>
      </c>
      <c r="C70" t="inlineStr">
        <is>
          <t>Föryngringsavverkning</t>
        </is>
      </c>
      <c r="D70" s="1" t="n">
        <v>46139</v>
      </c>
      <c r="E70" s="1" t="n">
        <v>46230</v>
      </c>
      <c r="F70" t="inlineStr">
        <is>
          <t>NORRBOTTENS LÄN</t>
        </is>
      </c>
      <c r="G70" t="inlineStr">
        <is>
          <t>ARJEPLOG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46230</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20326-2026</t>
        </is>
      </c>
      <c r="B72" t="inlineStr">
        <is>
          <t>avverkningsanmälan</t>
        </is>
      </c>
      <c r="C72" t="inlineStr">
        <is>
          <t>Föryngringsavverkning</t>
        </is>
      </c>
      <c r="D72" s="1" t="n">
        <v>46139</v>
      </c>
      <c r="E72" s="1" t="n">
        <v>46230</v>
      </c>
      <c r="F72" t="inlineStr">
        <is>
          <t>NORRBOTTENS LÄN</t>
        </is>
      </c>
      <c r="G72" t="inlineStr">
        <is>
          <t>ARJEPLOG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46230</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46230</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20789-2022</t>
        </is>
      </c>
      <c r="B75" t="inlineStr">
        <is>
          <t>avverkningsanmälan</t>
        </is>
      </c>
      <c r="C75" t="inlineStr">
        <is>
          <t>Föryngringsavverkning</t>
        </is>
      </c>
      <c r="D75" s="1" t="n">
        <v>44701</v>
      </c>
      <c r="E75" s="1" t="n">
        <v>46230</v>
      </c>
      <c r="F75" t="inlineStr">
        <is>
          <t>NORRBOTTENS LÄN</t>
        </is>
      </c>
      <c r="G75" t="inlineStr">
        <is>
          <t>ARJEPLOG</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46230</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46230</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20322-2026</t>
        </is>
      </c>
      <c r="B78" t="inlineStr">
        <is>
          <t>avverkningsanmälan</t>
        </is>
      </c>
      <c r="C78" t="inlineStr">
        <is>
          <t>Föryngringsavverkning</t>
        </is>
      </c>
      <c r="D78" s="1" t="n">
        <v>46139</v>
      </c>
      <c r="E78" s="1" t="n">
        <v>46230</v>
      </c>
      <c r="F78" t="inlineStr">
        <is>
          <t>NORRBOTTENS LÄN</t>
        </is>
      </c>
      <c r="G78" t="inlineStr">
        <is>
          <t>ARJEPLOG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26486-2024</t>
        </is>
      </c>
      <c r="B79" t="inlineStr">
        <is>
          <t>avverkningsanmälan</t>
        </is>
      </c>
      <c r="C79" t="inlineStr">
        <is>
          <t>Föryngringsavverkning</t>
        </is>
      </c>
      <c r="D79" s="1" t="n">
        <v>45469</v>
      </c>
      <c r="E79" s="1" t="n">
        <v>46230</v>
      </c>
      <c r="F79" t="inlineStr">
        <is>
          <t>NORRBOTTENS LÄN</t>
        </is>
      </c>
      <c r="G79" t="inlineStr">
        <is>
          <t>ARJEPLOG</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26472-2024</t>
        </is>
      </c>
      <c r="B80" t="inlineStr">
        <is>
          <t>avverkningsanmälan</t>
        </is>
      </c>
      <c r="C80" t="inlineStr">
        <is>
          <t>Föryngringsavverkning</t>
        </is>
      </c>
      <c r="D80" s="1" t="n">
        <v>45469</v>
      </c>
      <c r="E80" s="1" t="n">
        <v>46230</v>
      </c>
      <c r="F80" t="inlineStr">
        <is>
          <t>NORRBOTTENS LÄN</t>
        </is>
      </c>
      <c r="G80" t="inlineStr">
        <is>
          <t>ARJEPLOG</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46230</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46230</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27102-2026</t>
        </is>
      </c>
      <c r="B83" t="inlineStr">
        <is>
          <t>avverkningsanmälan</t>
        </is>
      </c>
      <c r="C83" t="inlineStr">
        <is>
          <t>Avverkning för annat ändamål</t>
        </is>
      </c>
      <c r="D83" s="1" t="n">
        <v>46188</v>
      </c>
      <c r="E83" s="1" t="n">
        <v>46230</v>
      </c>
      <c r="F83" t="inlineStr">
        <is>
          <t>NORRBOTTENS LÄN</t>
        </is>
      </c>
      <c r="G83" t="inlineStr">
        <is>
          <t>ARJEPLOG</t>
        </is>
      </c>
      <c r="H83" t="inlineStr">
        <is>
          <t>Sveaskog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64816-2023</t>
        </is>
      </c>
      <c r="B84" t="inlineStr">
        <is>
          <t>avverkningsanmälan</t>
        </is>
      </c>
      <c r="C84" t="inlineStr">
        <is>
          <t>Föryngringsavverkning</t>
        </is>
      </c>
      <c r="D84" s="1" t="n">
        <v>45281</v>
      </c>
      <c r="E84" s="1" t="n">
        <v>46230</v>
      </c>
      <c r="F84" t="inlineStr">
        <is>
          <t>NORRBOTTENS LÄN</t>
        </is>
      </c>
      <c r="G84" t="inlineStr">
        <is>
          <t>ARJEPLOG</t>
        </is>
      </c>
      <c r="I84" t="n">
        <v>13.4</v>
      </c>
      <c r="J84" t="n">
        <v>0</v>
      </c>
      <c r="K84" t="n">
        <v>0</v>
      </c>
      <c r="L84" t="n">
        <v>0</v>
      </c>
      <c r="M84" t="n">
        <v>0</v>
      </c>
      <c r="N84" t="n">
        <v>0</v>
      </c>
      <c r="O84" t="n">
        <v>0</v>
      </c>
      <c r="P84" t="n">
        <v>0</v>
      </c>
      <c r="Q84" t="n">
        <v>0</v>
      </c>
      <c r="R84" t="n">
        <v>0</v>
      </c>
      <c r="S84" t="n">
        <v>0</v>
      </c>
      <c r="T84" t="n">
        <v>0</v>
      </c>
      <c r="U84" t="n">
        <v>0</v>
      </c>
      <c r="V84" s="2" t="inlineStr"/>
    </row>
    <row r="85" ht="15" customHeight="1">
      <c r="A85" t="inlineStr">
        <is>
          <t>A 28354-2022</t>
        </is>
      </c>
      <c r="B85" t="inlineStr">
        <is>
          <t>avverkningsanmälan</t>
        </is>
      </c>
      <c r="C85" t="inlineStr">
        <is>
          <t>Avverkning för annat ändamål</t>
        </is>
      </c>
      <c r="D85" s="1" t="n">
        <v>44735</v>
      </c>
      <c r="E85" s="1" t="n">
        <v>46230</v>
      </c>
      <c r="F85" t="inlineStr">
        <is>
          <t>NORRBOTTENS LÄN</t>
        </is>
      </c>
      <c r="G85" t="inlineStr">
        <is>
          <t>ARJEPLOG</t>
        </is>
      </c>
      <c r="H85" t="inlineStr">
        <is>
          <t>Övriga statliga verk och myndigheter</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27836-2026</t>
        </is>
      </c>
      <c r="B86" t="inlineStr">
        <is>
          <t>avverkningsanmälan</t>
        </is>
      </c>
      <c r="C86" t="inlineStr">
        <is>
          <t>Avverkning för annat ändamål</t>
        </is>
      </c>
      <c r="D86" s="1" t="n">
        <v>46189</v>
      </c>
      <c r="E86" s="1" t="n">
        <v>46230</v>
      </c>
      <c r="F86" t="inlineStr">
        <is>
          <t>NORRBOTTENS LÄN</t>
        </is>
      </c>
      <c r="G86" t="inlineStr">
        <is>
          <t>ARJEPLOG</t>
        </is>
      </c>
      <c r="H86" t="inlineStr">
        <is>
          <t>Sveaskog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55570-2025</t>
        </is>
      </c>
      <c r="B87" t="inlineStr">
        <is>
          <t>avverkningsanmälan</t>
        </is>
      </c>
      <c r="C87" t="inlineStr">
        <is>
          <t>Föryngringsavverkning</t>
        </is>
      </c>
      <c r="D87" s="1" t="n">
        <v>45971</v>
      </c>
      <c r="E87" s="1" t="n">
        <v>46230</v>
      </c>
      <c r="F87" t="inlineStr">
        <is>
          <t>NORRBOTTENS LÄN</t>
        </is>
      </c>
      <c r="G87" t="inlineStr">
        <is>
          <t>ARJEPLOG</t>
        </is>
      </c>
      <c r="H87" t="inlineStr">
        <is>
          <t>Övriga statliga verk och myndigheter</t>
        </is>
      </c>
      <c r="I87" t="n">
        <v>10.6</v>
      </c>
      <c r="J87" t="n">
        <v>0</v>
      </c>
      <c r="K87" t="n">
        <v>0</v>
      </c>
      <c r="L87" t="n">
        <v>0</v>
      </c>
      <c r="M87" t="n">
        <v>0</v>
      </c>
      <c r="N87" t="n">
        <v>0</v>
      </c>
      <c r="O87" t="n">
        <v>0</v>
      </c>
      <c r="P87" t="n">
        <v>0</v>
      </c>
      <c r="Q87" t="n">
        <v>0</v>
      </c>
      <c r="R87" t="n">
        <v>0</v>
      </c>
      <c r="S87" t="n">
        <v>0</v>
      </c>
      <c r="T87" t="n">
        <v>0</v>
      </c>
      <c r="U87" t="n">
        <v>0</v>
      </c>
      <c r="V87" s="2" t="inlineStr"/>
    </row>
    <row r="88" ht="15" customHeight="1">
      <c r="A88" t="inlineStr">
        <is>
          <t>A 34426-2025</t>
        </is>
      </c>
      <c r="B88" t="inlineStr">
        <is>
          <t>avverkningsanmälan</t>
        </is>
      </c>
      <c r="C88" t="inlineStr">
        <is>
          <t>Föryngringsavverkning</t>
        </is>
      </c>
      <c r="D88" s="1" t="n">
        <v>45845</v>
      </c>
      <c r="E88" s="1" t="n">
        <v>46230</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46230</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390-2026</t>
        </is>
      </c>
      <c r="B90" t="inlineStr">
        <is>
          <t>avverkningsanmälan</t>
        </is>
      </c>
      <c r="C90" t="inlineStr">
        <is>
          <t>Föryngringsavverkning</t>
        </is>
      </c>
      <c r="D90" s="1" t="n">
        <v>46028</v>
      </c>
      <c r="E90" s="1" t="n">
        <v>46230</v>
      </c>
      <c r="F90" t="inlineStr">
        <is>
          <t>NORRBOTTENS LÄN</t>
        </is>
      </c>
      <c r="G90" t="inlineStr">
        <is>
          <t>ARJEPLOG</t>
        </is>
      </c>
      <c r="I90" t="n">
        <v>19.5</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46230</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59887-2025</t>
        </is>
      </c>
      <c r="B92" t="inlineStr">
        <is>
          <t>avverkningsanmälan</t>
        </is>
      </c>
      <c r="C92" t="inlineStr">
        <is>
          <t>Föryngringsavverkning</t>
        </is>
      </c>
      <c r="D92" s="1" t="n">
        <v>45993</v>
      </c>
      <c r="E92" s="1" t="n">
        <v>46230</v>
      </c>
      <c r="F92" t="inlineStr">
        <is>
          <t>NORRBOTTENS LÄN</t>
        </is>
      </c>
      <c r="G92" t="inlineStr">
        <is>
          <t>ARJEPLOG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46230</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46230</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46230</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28560-2026</t>
        </is>
      </c>
      <c r="B96" t="inlineStr">
        <is>
          <t>avverkningsanmälan</t>
        </is>
      </c>
      <c r="C96" t="inlineStr">
        <is>
          <t>Föryngringsavverkning</t>
        </is>
      </c>
      <c r="D96" s="1" t="n">
        <v>46197</v>
      </c>
      <c r="E96" s="1" t="n">
        <v>46230</v>
      </c>
      <c r="F96" t="inlineStr">
        <is>
          <t>NORRBOTTENS LÄN</t>
        </is>
      </c>
      <c r="G96" t="inlineStr">
        <is>
          <t>ARJEPLOG</t>
        </is>
      </c>
      <c r="H96" t="inlineStr">
        <is>
          <t>Allmännings- och besparingsskogar</t>
        </is>
      </c>
      <c r="I96" t="n">
        <v>14.2</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46230</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46230</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28799-2026</t>
        </is>
      </c>
      <c r="B99" t="inlineStr">
        <is>
          <t>avverkningsanmälan</t>
        </is>
      </c>
      <c r="C99" t="inlineStr">
        <is>
          <t>Föryngringsavverkning</t>
        </is>
      </c>
      <c r="D99" s="1" t="n">
        <v>46198</v>
      </c>
      <c r="E99" s="1" t="n">
        <v>46230</v>
      </c>
      <c r="F99" t="inlineStr">
        <is>
          <t>NORRBOTTENS LÄN</t>
        </is>
      </c>
      <c r="G99" t="inlineStr">
        <is>
          <t>ARJEPLOG</t>
        </is>
      </c>
      <c r="H99" t="inlineStr">
        <is>
          <t>Allmännings- och besparingsskogar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28804-2026</t>
        </is>
      </c>
      <c r="B100" t="inlineStr">
        <is>
          <t>avverkningsanmälan</t>
        </is>
      </c>
      <c r="C100" t="inlineStr">
        <is>
          <t>Föryngringsavverkning</t>
        </is>
      </c>
      <c r="D100" s="1" t="n">
        <v>46198</v>
      </c>
      <c r="E100" s="1" t="n">
        <v>46230</v>
      </c>
      <c r="F100" t="inlineStr">
        <is>
          <t>NORRBOTTENS LÄN</t>
        </is>
      </c>
      <c r="G100" t="inlineStr">
        <is>
          <t>ARJEPLOG</t>
        </is>
      </c>
      <c r="H100" t="inlineStr">
        <is>
          <t>Allmännings- och besparingsskogar</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29674-2025</t>
        </is>
      </c>
      <c r="B101" t="inlineStr">
        <is>
          <t>avverkningsanmälan</t>
        </is>
      </c>
      <c r="C101" t="inlineStr">
        <is>
          <t>Föryngringsavverkning</t>
        </is>
      </c>
      <c r="D101" s="1" t="n">
        <v>45825</v>
      </c>
      <c r="E101" s="1" t="n">
        <v>46230</v>
      </c>
      <c r="F101" t="inlineStr">
        <is>
          <t>NORRBOTTENS LÄN</t>
        </is>
      </c>
      <c r="G101" t="inlineStr">
        <is>
          <t>ARJEPLOG</t>
        </is>
      </c>
      <c r="H101" t="inlineStr">
        <is>
          <t>Allmännings- och besparingsskogar</t>
        </is>
      </c>
      <c r="I101" t="n">
        <v>25.1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23330-2026</t>
        </is>
      </c>
      <c r="B102" t="inlineStr">
        <is>
          <t>avverkningsanmälan</t>
        </is>
      </c>
      <c r="C102" t="inlineStr">
        <is>
          <t>Föryngringsavverkning</t>
        </is>
      </c>
      <c r="D102" s="1" t="n">
        <v>46162</v>
      </c>
      <c r="E102" s="1" t="n">
        <v>46230</v>
      </c>
      <c r="F102" t="inlineStr">
        <is>
          <t>NORRBOTTENS LÄN</t>
        </is>
      </c>
      <c r="G102" t="inlineStr">
        <is>
          <t>ARJEPLOG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46230</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12447-2025</t>
        </is>
      </c>
      <c r="B104" t="inlineStr">
        <is>
          <t>avverkningsanmälan</t>
        </is>
      </c>
      <c r="C104" t="inlineStr">
        <is>
          <t>Föryngringsavverkning</t>
        </is>
      </c>
      <c r="D104" s="1" t="n">
        <v>45730</v>
      </c>
      <c r="E104" s="1" t="n">
        <v>46230</v>
      </c>
      <c r="F104" t="inlineStr">
        <is>
          <t>NORRBOTTENS LÄN</t>
        </is>
      </c>
      <c r="G104" t="inlineStr">
        <is>
          <t>ARJEPLOG</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25239-2023</t>
        </is>
      </c>
      <c r="B105" t="inlineStr">
        <is>
          <t>avverkningsanmälan</t>
        </is>
      </c>
      <c r="C105" t="inlineStr">
        <is>
          <t>Föryngringsavverkning</t>
        </is>
      </c>
      <c r="D105" s="1" t="n">
        <v>45079</v>
      </c>
      <c r="E105" s="1" t="n">
        <v>46230</v>
      </c>
      <c r="F105" t="inlineStr">
        <is>
          <t>NORRBOTTENS LÄN</t>
        </is>
      </c>
      <c r="G105" t="inlineStr">
        <is>
          <t>ARJEPLOG</t>
        </is>
      </c>
      <c r="H105" t="inlineStr">
        <is>
          <t>Övriga statliga verk och myndigheter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46230</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25440-2024</t>
        </is>
      </c>
      <c r="B107" t="inlineStr">
        <is>
          <t>avverkningsanmälan</t>
        </is>
      </c>
      <c r="C107" t="inlineStr">
        <is>
          <t>Föryngringsavverkning</t>
        </is>
      </c>
      <c r="D107" s="1" t="n">
        <v>45463</v>
      </c>
      <c r="E107" s="1" t="n">
        <v>46230</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58989-2024</t>
        </is>
      </c>
      <c r="B108" t="inlineStr">
        <is>
          <t>avverkningsanmälan</t>
        </is>
      </c>
      <c r="C108" t="inlineStr">
        <is>
          <t>Avverkning för annat ändamål</t>
        </is>
      </c>
      <c r="D108" s="1" t="n">
        <v>45636</v>
      </c>
      <c r="E108" s="1" t="n">
        <v>46230</v>
      </c>
      <c r="F108" t="inlineStr">
        <is>
          <t>NORRBOTTENS LÄN</t>
        </is>
      </c>
      <c r="G108" t="inlineStr">
        <is>
          <t>ARJEPLOG</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46230</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46230</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46230</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28532-2026</t>
        </is>
      </c>
      <c r="B112" t="inlineStr">
        <is>
          <t>avverkningsanmälan</t>
        </is>
      </c>
      <c r="C112" t="inlineStr">
        <is>
          <t>Avverkning för annat ändamål</t>
        </is>
      </c>
      <c r="D112" s="1" t="n">
        <v>46197</v>
      </c>
      <c r="E112" s="1" t="n">
        <v>46230</v>
      </c>
      <c r="F112" t="inlineStr">
        <is>
          <t>NORRBOTTENS LÄN</t>
        </is>
      </c>
      <c r="G112" t="inlineStr">
        <is>
          <t>ARJEPLOG</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46230</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28551-2026</t>
        </is>
      </c>
      <c r="B114" t="inlineStr">
        <is>
          <t>avverkningsanmälan</t>
        </is>
      </c>
      <c r="C114" t="inlineStr">
        <is>
          <t>Föryngringsavverkning</t>
        </is>
      </c>
      <c r="D114" s="1" t="n">
        <v>46197</v>
      </c>
      <c r="E114" s="1" t="n">
        <v>46230</v>
      </c>
      <c r="F114" t="inlineStr">
        <is>
          <t>NORRBOTTENS LÄN</t>
        </is>
      </c>
      <c r="G114" t="inlineStr">
        <is>
          <t>ARJEPLOG</t>
        </is>
      </c>
      <c r="H114" t="inlineStr">
        <is>
          <t>Allmännings- och besparingsskogar</t>
        </is>
      </c>
      <c r="I114" t="n">
        <v>22.9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28787-2026</t>
        </is>
      </c>
      <c r="B115" t="inlineStr">
        <is>
          <t>avverkningsanmälan</t>
        </is>
      </c>
      <c r="C115" t="inlineStr">
        <is>
          <t>Föryngringsavverkning</t>
        </is>
      </c>
      <c r="D115" s="1" t="n">
        <v>46198</v>
      </c>
      <c r="E115" s="1" t="n">
        <v>46230</v>
      </c>
      <c r="F115" t="inlineStr">
        <is>
          <t>NORRBOTTENS LÄN</t>
        </is>
      </c>
      <c r="G115" t="inlineStr">
        <is>
          <t>ARJEPLOG</t>
        </is>
      </c>
      <c r="H115" t="inlineStr">
        <is>
          <t>Allmännings- och besparingsskogar</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14861-2026</t>
        </is>
      </c>
      <c r="B116" t="inlineStr">
        <is>
          <t>avverkningsanmälan</t>
        </is>
      </c>
      <c r="C116" t="inlineStr">
        <is>
          <t>Föryngringsavverkning</t>
        </is>
      </c>
      <c r="D116" s="1" t="n">
        <v>46104</v>
      </c>
      <c r="E116" s="1" t="n">
        <v>46230</v>
      </c>
      <c r="F116" t="inlineStr">
        <is>
          <t>NORRBOTTENS LÄN</t>
        </is>
      </c>
      <c r="G116" t="inlineStr">
        <is>
          <t>ARJEPLOG</t>
        </is>
      </c>
      <c r="H116" t="inlineStr">
        <is>
          <t>Sveaskog</t>
        </is>
      </c>
      <c r="I116" t="n">
        <v>31.7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53822-2024</t>
        </is>
      </c>
      <c r="B117" t="inlineStr">
        <is>
          <t>avverkningsanmälan</t>
        </is>
      </c>
      <c r="C117" t="inlineStr">
        <is>
          <t>Föryngringsavverkning</t>
        </is>
      </c>
      <c r="D117" s="1" t="n">
        <v>45614</v>
      </c>
      <c r="E117" s="1" t="n">
        <v>46230</v>
      </c>
      <c r="F117" t="inlineStr">
        <is>
          <t>NORRBOTTENS LÄN</t>
        </is>
      </c>
      <c r="G117" t="inlineStr">
        <is>
          <t>ARJEPLOG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26479-2024</t>
        </is>
      </c>
      <c r="B118" t="inlineStr">
        <is>
          <t>avverkningsanmälan</t>
        </is>
      </c>
      <c r="C118" t="inlineStr">
        <is>
          <t>Föryngringsavverkning</t>
        </is>
      </c>
      <c r="D118" s="1" t="n">
        <v>45468</v>
      </c>
      <c r="E118" s="1" t="n">
        <v>46230</v>
      </c>
      <c r="F118" t="inlineStr">
        <is>
          <t>NORRBOTTENS LÄN</t>
        </is>
      </c>
      <c r="G118" t="inlineStr">
        <is>
          <t>ARJEPLOG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12409-2025</t>
        </is>
      </c>
      <c r="B119" t="inlineStr">
        <is>
          <t>avverkningsanmälan</t>
        </is>
      </c>
      <c r="C119" t="inlineStr">
        <is>
          <t>Föryngringsavverkning</t>
        </is>
      </c>
      <c r="D119" s="1" t="n">
        <v>45730</v>
      </c>
      <c r="E119" s="1" t="n">
        <v>46230</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26773-2022</t>
        </is>
      </c>
      <c r="B120" t="inlineStr">
        <is>
          <t>avverkningsanmälan</t>
        </is>
      </c>
      <c r="C120" t="inlineStr">
        <is>
          <t>Föryngringsavverkning</t>
        </is>
      </c>
      <c r="D120" s="1" t="n">
        <v>44732</v>
      </c>
      <c r="E120" s="1" t="n">
        <v>46230</v>
      </c>
      <c r="F120" t="inlineStr">
        <is>
          <t>NORRBOTTENS LÄN</t>
        </is>
      </c>
      <c r="G120" t="inlineStr">
        <is>
          <t>ARJEPLOG</t>
        </is>
      </c>
      <c r="H120" t="inlineStr">
        <is>
          <t>Övriga statliga verk och myndigheter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26048-2026</t>
        </is>
      </c>
      <c r="B121" t="inlineStr">
        <is>
          <t>avverkningsanmälan</t>
        </is>
      </c>
      <c r="C121" t="inlineStr">
        <is>
          <t>Föryngringsavverkning</t>
        </is>
      </c>
      <c r="D121" s="1" t="n">
        <v>46181</v>
      </c>
      <c r="E121" s="1" t="n">
        <v>46230</v>
      </c>
      <c r="F121" t="inlineStr">
        <is>
          <t>NORRBOTTENS LÄN</t>
        </is>
      </c>
      <c r="G121" t="inlineStr">
        <is>
          <t>ARJEPLOG</t>
        </is>
      </c>
      <c r="I121" t="n">
        <v>16.9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35194-2024</t>
        </is>
      </c>
      <c r="B122" t="inlineStr">
        <is>
          <t>avverkningsanmälan</t>
        </is>
      </c>
      <c r="C122" t="inlineStr">
        <is>
          <t>Föryngringsavverkning</t>
        </is>
      </c>
      <c r="D122" s="1" t="n">
        <v>45530</v>
      </c>
      <c r="E122" s="1" t="n">
        <v>46230</v>
      </c>
      <c r="F122" t="inlineStr">
        <is>
          <t>NORRBOTTENS LÄN</t>
        </is>
      </c>
      <c r="G122" t="inlineStr">
        <is>
          <t>ARJEPLOG</t>
        </is>
      </c>
      <c r="I122" t="n">
        <v>20.1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36623-2023</t>
        </is>
      </c>
      <c r="B123" t="inlineStr">
        <is>
          <t>avverkningsanmälan</t>
        </is>
      </c>
      <c r="C123" t="inlineStr">
        <is>
          <t>Föryngringsavverkning</t>
        </is>
      </c>
      <c r="D123" s="1" t="n">
        <v>45153</v>
      </c>
      <c r="E123" s="1" t="n">
        <v>46230</v>
      </c>
      <c r="F123" t="inlineStr">
        <is>
          <t>NORRBOTTENS LÄN</t>
        </is>
      </c>
      <c r="G123" t="inlineStr">
        <is>
          <t>ARJEPLOG</t>
        </is>
      </c>
      <c r="H123" t="inlineStr">
        <is>
          <t>Sveaskog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46230</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46230</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46230</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56794-2024</t>
        </is>
      </c>
      <c r="B127" t="inlineStr">
        <is>
          <t>avverkningsanmälan</t>
        </is>
      </c>
      <c r="C127" t="inlineStr">
        <is>
          <t>Föryngringsavverkning</t>
        </is>
      </c>
      <c r="D127" s="1" t="n">
        <v>45625</v>
      </c>
      <c r="E127" s="1" t="n">
        <v>46230</v>
      </c>
      <c r="F127" t="inlineStr">
        <is>
          <t>NORRBOTTENS LÄN</t>
        </is>
      </c>
      <c r="G127" t="inlineStr">
        <is>
          <t>ARJEPLOG</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46230</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46230</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46230</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46230</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46230</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25275-2023</t>
        </is>
      </c>
      <c r="B133" t="inlineStr">
        <is>
          <t>avverkningsanmälan</t>
        </is>
      </c>
      <c r="C133" t="inlineStr">
        <is>
          <t>Föryngringsavverkning</t>
        </is>
      </c>
      <c r="D133" s="1" t="n">
        <v>45079</v>
      </c>
      <c r="E133" s="1" t="n">
        <v>46230</v>
      </c>
      <c r="F133" t="inlineStr">
        <is>
          <t>NORRBOTTENS LÄN</t>
        </is>
      </c>
      <c r="G133" t="inlineStr">
        <is>
          <t>ARJEPLOG</t>
        </is>
      </c>
      <c r="H133" t="inlineStr">
        <is>
          <t>Övriga statliga verk och myndigheter</t>
        </is>
      </c>
      <c r="I133" t="n">
        <v>22.7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31104-2025</t>
        </is>
      </c>
      <c r="B134" t="inlineStr">
        <is>
          <t>avverkningsanmälan</t>
        </is>
      </c>
      <c r="C134" t="inlineStr">
        <is>
          <t>Föryngringsavverkning</t>
        </is>
      </c>
      <c r="D134" s="1" t="n">
        <v>45832</v>
      </c>
      <c r="E134" s="1" t="n">
        <v>46230</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46230</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46230</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46230</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2026-07-27T01:50:13Z</dcterms:created>
  <dcterms:modified xmlns:dcterms="http://purl.org/dc/terms/" xmlns:xsi="http://www.w3.org/2001/XMLSchema-instance" xsi:type="dcterms:W3CDTF">2026-07-27T01:50:13Z</dcterms:modified>
</cp:coreProperties>
</file>