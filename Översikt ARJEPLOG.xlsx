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46013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46013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46013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46013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46013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49079-2025</t>
        </is>
      </c>
      <c r="B17" s="1" t="n">
        <v>45937</v>
      </c>
      <c r="C17" s="1" t="n">
        <v>46013</v>
      </c>
      <c r="D17" t="inlineStr">
        <is>
          <t>NORRBOTTENS LÄN</t>
        </is>
      </c>
      <c r="E17" t="inlineStr">
        <is>
          <t>ARJEPLOG</t>
        </is>
      </c>
      <c r="F17" t="inlineStr">
        <is>
          <t>Sveaskog</t>
        </is>
      </c>
      <c r="G17" t="n">
        <v>24.7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Spindelblomster
Mattlummer
Revlummer</t>
        </is>
      </c>
      <c r="S17">
        <f>HYPERLINK("https://klasma.github.io/Logging_2506/artfynd/A 49079-2025 artfynd.xlsx", "A 49079-2025")</f>
        <v/>
      </c>
      <c r="T17">
        <f>HYPERLINK("https://klasma.github.io/Logging_2506/kartor/A 49079-2025 karta.png", "A 49079-2025")</f>
        <v/>
      </c>
      <c r="V17">
        <f>HYPERLINK("https://klasma.github.io/Logging_2506/klagomål/A 49079-2025 FSC-klagomål.docx", "A 49079-2025")</f>
        <v/>
      </c>
      <c r="W17">
        <f>HYPERLINK("https://klasma.github.io/Logging_2506/klagomålsmail/A 49079-2025 FSC-klagomål mail.docx", "A 49079-2025")</f>
        <v/>
      </c>
      <c r="X17">
        <f>HYPERLINK("https://klasma.github.io/Logging_2506/tillsyn/A 49079-2025 tillsynsbegäran.docx", "A 49079-2025")</f>
        <v/>
      </c>
      <c r="Y17">
        <f>HYPERLINK("https://klasma.github.io/Logging_2506/tillsynsmail/A 49079-2025 tillsynsbegäran mail.docx", "A 49079-2025")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46013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46013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46013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46013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46013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46013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17549-2023</t>
        </is>
      </c>
      <c r="B24" s="1" t="n">
        <v>45034</v>
      </c>
      <c r="C24" s="1" t="n">
        <v>46013</v>
      </c>
      <c r="D24" t="inlineStr">
        <is>
          <t>NORRBOTTENS LÄN</t>
        </is>
      </c>
      <c r="E24" t="inlineStr">
        <is>
          <t>ARJEPLOG</t>
        </is>
      </c>
      <c r="G24" t="n">
        <v>18.8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Tretåig hackspett</t>
        </is>
      </c>
      <c r="S24">
        <f>HYPERLINK("https://klasma.github.io/Logging_2506/artfynd/A 17549-2023 artfynd.xlsx", "A 17549-2023")</f>
        <v/>
      </c>
      <c r="T24">
        <f>HYPERLINK("https://klasma.github.io/Logging_2506/kartor/A 17549-2023 karta.png", "A 17549-2023")</f>
        <v/>
      </c>
      <c r="V24">
        <f>HYPERLINK("https://klasma.github.io/Logging_2506/klagomål/A 17549-2023 FSC-klagomål.docx", "A 17549-2023")</f>
        <v/>
      </c>
      <c r="W24">
        <f>HYPERLINK("https://klasma.github.io/Logging_2506/klagomålsmail/A 17549-2023 FSC-klagomål mail.docx", "A 17549-2023")</f>
        <v/>
      </c>
      <c r="X24">
        <f>HYPERLINK("https://klasma.github.io/Logging_2506/tillsyn/A 17549-2023 tillsynsbegäran.docx", "A 17549-2023")</f>
        <v/>
      </c>
      <c r="Y24">
        <f>HYPERLINK("https://klasma.github.io/Logging_2506/tillsynsmail/A 17549-2023 tillsynsbegäran mail.docx", "A 17549-2023")</f>
        <v/>
      </c>
      <c r="Z24">
        <f>HYPERLINK("https://klasma.github.io/Logging_2506/fåglar/A 17549-2023 prioriterade fågelarter.docx", "A 17549-2023")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46013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46013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46013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46013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46013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46013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46013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46013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46013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46013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46013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46013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46013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46013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46013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8721-2021</t>
        </is>
      </c>
      <c r="B40" s="1" t="n">
        <v>44246</v>
      </c>
      <c r="C40" s="1" t="n">
        <v>46013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46013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46013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46013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19620-2022</t>
        </is>
      </c>
      <c r="B44" s="1" t="n">
        <v>44694</v>
      </c>
      <c r="C44" s="1" t="n">
        <v>46013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72279-2021</t>
        </is>
      </c>
      <c r="B45" s="1" t="n">
        <v>44543</v>
      </c>
      <c r="C45" s="1" t="n">
        <v>46013</v>
      </c>
      <c r="D45" t="inlineStr">
        <is>
          <t>NORRBOTTENS LÄN</t>
        </is>
      </c>
      <c r="E45" t="inlineStr">
        <is>
          <t>ARJEPLOG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46013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46013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46013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46013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46013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46013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46013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46013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46013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46013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64826-2023</t>
        </is>
      </c>
      <c r="B56" s="1" t="n">
        <v>45281</v>
      </c>
      <c r="C56" s="1" t="n">
        <v>46013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38851-2025</t>
        </is>
      </c>
      <c r="B57" s="1" t="n">
        <v>45887.55271990741</v>
      </c>
      <c r="C57" s="1" t="n">
        <v>46013</v>
      </c>
      <c r="D57" t="inlineStr">
        <is>
          <t>NORRBOTTENS LÄN</t>
        </is>
      </c>
      <c r="E57" t="inlineStr">
        <is>
          <t>ARJEPLOG</t>
        </is>
      </c>
      <c r="G57" t="n">
        <v>15.2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46013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43045-2022</t>
        </is>
      </c>
      <c r="B59" s="1" t="n">
        <v>44833</v>
      </c>
      <c r="C59" s="1" t="n">
        <v>46013</v>
      </c>
      <c r="D59" t="inlineStr">
        <is>
          <t>NORRBOTTENS LÄN</t>
        </is>
      </c>
      <c r="E59" t="inlineStr">
        <is>
          <t>ARJEPLOG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46013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46013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46013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46013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46013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46013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46013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46013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46013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46013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46013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29667-2025</t>
        </is>
      </c>
      <c r="B71" s="1" t="n">
        <v>45825</v>
      </c>
      <c r="C71" s="1" t="n">
        <v>46013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46013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46013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46013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46013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46013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48940-2023</t>
        </is>
      </c>
      <c r="B77" s="1" t="n">
        <v>45205</v>
      </c>
      <c r="C77" s="1" t="n">
        <v>46013</v>
      </c>
      <c r="D77" t="inlineStr">
        <is>
          <t>NORRBOTTENS LÄN</t>
        </is>
      </c>
      <c r="E77" t="inlineStr">
        <is>
          <t>ARJEPLOG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46013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46013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46013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46013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46013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46013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46013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46013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55570-2025</t>
        </is>
      </c>
      <c r="B86" s="1" t="n">
        <v>45971.65667824074</v>
      </c>
      <c r="C86" s="1" t="n">
        <v>46013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46013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46013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46013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46013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46013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46013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48992-2025</t>
        </is>
      </c>
      <c r="B93" s="1" t="n">
        <v>45937.58351851852</v>
      </c>
      <c r="C93" s="1" t="n">
        <v>46013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46013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61729-2024</t>
        </is>
      </c>
      <c r="B95" s="1" t="n">
        <v>45649</v>
      </c>
      <c r="C95" s="1" t="n">
        <v>46013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29649-2024</t>
        </is>
      </c>
      <c r="B96" s="1" t="n">
        <v>45484</v>
      </c>
      <c r="C96" s="1" t="n">
        <v>46013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45072-2023</t>
        </is>
      </c>
      <c r="B97" s="1" t="n">
        <v>45187</v>
      </c>
      <c r="C97" s="1" t="n">
        <v>46013</v>
      </c>
      <c r="D97" t="inlineStr">
        <is>
          <t>NORRBOTTENS LÄN</t>
        </is>
      </c>
      <c r="E97" t="inlineStr">
        <is>
          <t>ARJEPLOG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46013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46013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25239-2023</t>
        </is>
      </c>
      <c r="B100" s="1" t="n">
        <v>45079</v>
      </c>
      <c r="C100" s="1" t="n">
        <v>46013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46013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53246-2025</t>
        </is>
      </c>
      <c r="B102" s="1" t="n">
        <v>45958.64807870371</v>
      </c>
      <c r="C102" s="1" t="n">
        <v>46013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46013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46013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46013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46013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3006-2024</t>
        </is>
      </c>
      <c r="B107" s="1" t="n">
        <v>45315</v>
      </c>
      <c r="C107" s="1" t="n">
        <v>46013</v>
      </c>
      <c r="D107" t="inlineStr">
        <is>
          <t>NORRBOTTENS LÄN</t>
        </is>
      </c>
      <c r="E107" t="inlineStr">
        <is>
          <t>ARJEPLOG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4413-2025</t>
        </is>
      </c>
      <c r="B108" s="1" t="n">
        <v>45686</v>
      </c>
      <c r="C108" s="1" t="n">
        <v>46013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34670-2025</t>
        </is>
      </c>
      <c r="B109" s="1" t="n">
        <v>45847</v>
      </c>
      <c r="C109" s="1" t="n">
        <v>46013</v>
      </c>
      <c r="D109" t="inlineStr">
        <is>
          <t>NORRBOTTENS LÄN</t>
        </is>
      </c>
      <c r="E109" t="inlineStr">
        <is>
          <t>ARJEPLOG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46013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46013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46013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46013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46013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46013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46013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46013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46013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46013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46013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46013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46013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46013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46013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46013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46013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46013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46013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46013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46013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46013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46013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46013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46013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46013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46013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46013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46013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12447-2025</t>
        </is>
      </c>
      <c r="B139" s="1" t="n">
        <v>45730.48715277778</v>
      </c>
      <c r="C139" s="1" t="n">
        <v>46013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56276-2021</t>
        </is>
      </c>
      <c r="B140" s="1" t="n">
        <v>44479</v>
      </c>
      <c r="C140" s="1" t="n">
        <v>46013</v>
      </c>
      <c r="D140" t="inlineStr">
        <is>
          <t>NORRBOTTENS LÄN</t>
        </is>
      </c>
      <c r="E140" t="inlineStr">
        <is>
          <t>ARJEPLOG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20905-2025</t>
        </is>
      </c>
      <c r="B141" s="1" t="n">
        <v>45777.40407407407</v>
      </c>
      <c r="C141" s="1" t="n">
        <v>46013</v>
      </c>
      <c r="D141" t="inlineStr">
        <is>
          <t>NORRBOTTENS LÄN</t>
        </is>
      </c>
      <c r="E141" t="inlineStr">
        <is>
          <t>ARJEPLOG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13119-2025</t>
        </is>
      </c>
      <c r="B142" s="1" t="n">
        <v>45734</v>
      </c>
      <c r="C142" s="1" t="n">
        <v>46013</v>
      </c>
      <c r="D142" t="inlineStr">
        <is>
          <t>NORRBOTTENS LÄN</t>
        </is>
      </c>
      <c r="E142" t="inlineStr">
        <is>
          <t>ARJEPLOG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2025-12-22T10:28:14Z</dcterms:created>
  <dcterms:modified xmlns:dcterms="http://purl.org/dc/terms/" xmlns:xsi="http://www.w3.org/2001/XMLSchema-instance" xsi:type="dcterms:W3CDTF">2025-12-22T10:28:14Z</dcterms:modified>
</cp:coreProperties>
</file>